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Z:\201_calferquim\203_areas\203.7_orden_produccion\"/>
    </mc:Choice>
  </mc:AlternateContent>
  <xr:revisionPtr revIDLastSave="0" documentId="8_{942254BE-651D-4EF2-9CF0-34160607BBB4}" xr6:coauthVersionLast="47" xr6:coauthVersionMax="47" xr10:uidLastSave="{00000000-0000-0000-0000-000000000000}"/>
  <bookViews>
    <workbookView xWindow="-120" yWindow="-120" windowWidth="29040" windowHeight="16440" tabRatio="849" activeTab="2" xr2:uid="{00000000-000D-0000-FFFF-FFFF00000000}"/>
  </bookViews>
  <sheets>
    <sheet name="Lista de Materias Primas" sheetId="1" r:id="rId1"/>
    <sheet name="Registro" sheetId="107" r:id="rId2"/>
    <sheet name="Verificación de Formulación" sheetId="2" r:id="rId3"/>
    <sheet name="memoria_calculo" sheetId="106" state="hidden" r:id="rId4"/>
    <sheet name="OP001_563140425" sheetId="134" state="hidden" r:id="rId5"/>
    <sheet name="OP002_510140425" sheetId="135" state="hidden" r:id="rId6"/>
    <sheet name="OP003_489140425" sheetId="136" state="hidden" r:id="rId7"/>
    <sheet name="OP004_602140425" sheetId="137" state="hidden" r:id="rId8"/>
    <sheet name="OP005_603140425" sheetId="138" state="hidden" r:id="rId9"/>
    <sheet name="OP006_841140425" sheetId="139" state="hidden" r:id="rId10"/>
    <sheet name="OP007_65150425" sheetId="140" state="hidden" r:id="rId11"/>
    <sheet name="OP008_679160425" sheetId="141" state="hidden" r:id="rId12"/>
    <sheet name="OP009_679160425" sheetId="142" state="hidden" r:id="rId13"/>
    <sheet name="OP010_679210425" sheetId="150" state="hidden" r:id="rId14"/>
    <sheet name="OP011_62210425" sheetId="149" state="hidden" r:id="rId15"/>
    <sheet name="OP013_603210425" sheetId="148" state="hidden" r:id="rId16"/>
  </sheets>
  <definedNames>
    <definedName name="_xlnm.Print_Area" localSheetId="4">OP001_563140425!$C$3:$AA$30</definedName>
    <definedName name="_xlnm.Print_Area" localSheetId="5">OP002_510140425!$C$3:$AA$30</definedName>
    <definedName name="_xlnm.Print_Area" localSheetId="6">OP003_489140425!$C$3:$AA$30</definedName>
    <definedName name="_xlnm.Print_Area" localSheetId="7">OP004_602140425!$C$3:$AA$30</definedName>
    <definedName name="_xlnm.Print_Area" localSheetId="8">OP005_603140425!$C$3:$AA$30</definedName>
    <definedName name="_xlnm.Print_Area" localSheetId="9">OP006_841140425!$C$3:$AA$30</definedName>
    <definedName name="_xlnm.Print_Area" localSheetId="10">OP007_65150425!$C$3:$AA$30</definedName>
    <definedName name="_xlnm.Print_Area" localSheetId="11">OP008_679160425!$C$3:$AA$30</definedName>
    <definedName name="_xlnm.Print_Area" localSheetId="12">OP009_679160425!$C$3:$AA$30</definedName>
    <definedName name="_xlnm.Print_Area" localSheetId="13">OP010_679210425!$C$3:$AA$30</definedName>
    <definedName name="_xlnm.Print_Area" localSheetId="14">OP011_62210425!$C$3:$AA$30</definedName>
    <definedName name="_xlnm.Print_Area" localSheetId="15">OP013_603210425!$C$3:$AA$30</definedName>
    <definedName name="_xlnm.Print_Area" localSheetId="2">'Verificación de Formulación'!$C$3:$AA$30</definedName>
    <definedName name="CID">'Lista de Materias Primas'!$D:$D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D5" i="1"/>
  <c r="D35" i="1"/>
  <c r="E35" i="1"/>
  <c r="D21" i="1"/>
  <c r="E21" i="1"/>
  <c r="D52" i="1"/>
  <c r="E52" i="1"/>
  <c r="D49" i="1"/>
  <c r="E49" i="1"/>
  <c r="D50" i="1"/>
  <c r="E50" i="1"/>
  <c r="C6" i="106"/>
  <c r="B6" i="106"/>
  <c r="A6" i="106"/>
  <c r="F6" i="2"/>
  <c r="D6" i="106" s="1"/>
  <c r="G21" i="2"/>
  <c r="G22" i="2"/>
  <c r="G23" i="2"/>
  <c r="G16" i="2"/>
  <c r="G17" i="2"/>
  <c r="G18" i="2"/>
  <c r="G19" i="2"/>
  <c r="G20" i="2"/>
  <c r="G15" i="2"/>
  <c r="G9" i="2"/>
  <c r="E16" i="106" s="1"/>
  <c r="C35" i="106"/>
  <c r="C36" i="106"/>
  <c r="C37" i="106"/>
  <c r="C38" i="106"/>
  <c r="C39" i="106"/>
  <c r="C40" i="106"/>
  <c r="C41" i="106"/>
  <c r="C42" i="106"/>
  <c r="C43" i="106"/>
  <c r="Y12" i="106"/>
  <c r="X12" i="106"/>
  <c r="V12" i="106"/>
  <c r="U12" i="106"/>
  <c r="T12" i="106"/>
  <c r="S12" i="106"/>
  <c r="R12" i="106"/>
  <c r="Q12" i="106"/>
  <c r="Y10" i="106"/>
  <c r="X10" i="106"/>
  <c r="V10" i="106"/>
  <c r="U10" i="106"/>
  <c r="T10" i="106"/>
  <c r="S10" i="106"/>
  <c r="R10" i="106"/>
  <c r="Q10" i="106"/>
  <c r="P10" i="106"/>
  <c r="O10" i="106"/>
  <c r="N10" i="106"/>
  <c r="N11" i="106" s="1"/>
  <c r="N12" i="106" s="1"/>
  <c r="Y16" i="106"/>
  <c r="Y19" i="106" s="1"/>
  <c r="X16" i="106"/>
  <c r="X19" i="106" s="1"/>
  <c r="W16" i="106"/>
  <c r="V16" i="106"/>
  <c r="V18" i="106" s="1"/>
  <c r="U16" i="106"/>
  <c r="U19" i="106" s="1"/>
  <c r="T16" i="106"/>
  <c r="T18" i="106" s="1"/>
  <c r="S16" i="106"/>
  <c r="S18" i="106" s="1"/>
  <c r="R16" i="106"/>
  <c r="R18" i="106" s="1"/>
  <c r="Q16" i="106"/>
  <c r="Q19" i="106" s="1"/>
  <c r="P16" i="106"/>
  <c r="O16" i="106"/>
  <c r="N16" i="106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D22" i="1"/>
  <c r="E22" i="1"/>
  <c r="D28" i="1"/>
  <c r="E28" i="1"/>
  <c r="M9" i="106"/>
  <c r="M10" i="106"/>
  <c r="L9" i="106"/>
  <c r="L10" i="106"/>
  <c r="G9" i="106"/>
  <c r="G10" i="106"/>
  <c r="E15" i="106" l="1"/>
  <c r="G8" i="2" s="1"/>
  <c r="E17" i="106"/>
  <c r="T19" i="106"/>
  <c r="T20" i="106" s="1"/>
  <c r="S19" i="106"/>
  <c r="S20" i="106" s="1"/>
  <c r="R19" i="106"/>
  <c r="R20" i="106" s="1"/>
  <c r="V19" i="106"/>
  <c r="V20" i="106" s="1"/>
  <c r="G12" i="106"/>
  <c r="M12" i="106"/>
  <c r="L12" i="106"/>
  <c r="Q18" i="106"/>
  <c r="Q20" i="106" s="1"/>
  <c r="U18" i="106"/>
  <c r="U20" i="106" s="1"/>
  <c r="C7" i="2"/>
  <c r="D7" i="2"/>
  <c r="E7" i="2"/>
  <c r="B7" i="2"/>
  <c r="A7" i="2"/>
  <c r="G10" i="2" l="1"/>
  <c r="W17" i="106"/>
  <c r="Y10" i="2" s="1"/>
  <c r="W15" i="106"/>
  <c r="Y8" i="2" s="1"/>
  <c r="Y15" i="106"/>
  <c r="Y17" i="106"/>
  <c r="H17" i="106"/>
  <c r="I17" i="106"/>
  <c r="J17" i="106"/>
  <c r="Q17" i="106"/>
  <c r="R17" i="106"/>
  <c r="S17" i="106"/>
  <c r="T17" i="106"/>
  <c r="U17" i="106"/>
  <c r="V17" i="106"/>
  <c r="X17" i="106"/>
  <c r="H15" i="106"/>
  <c r="I15" i="106"/>
  <c r="J15" i="106"/>
  <c r="Q15" i="106"/>
  <c r="R15" i="106"/>
  <c r="S15" i="106"/>
  <c r="T15" i="106"/>
  <c r="U15" i="106"/>
  <c r="V15" i="106"/>
  <c r="X15" i="106"/>
  <c r="F17" i="106"/>
  <c r="F15" i="106"/>
  <c r="G16" i="106"/>
  <c r="H16" i="106"/>
  <c r="H19" i="106" s="1"/>
  <c r="I16" i="106"/>
  <c r="I19" i="106" s="1"/>
  <c r="J16" i="106"/>
  <c r="J19" i="106" s="1"/>
  <c r="K16" i="106"/>
  <c r="K15" i="106" s="1"/>
  <c r="L16" i="106"/>
  <c r="M16" i="106"/>
  <c r="F16" i="106"/>
  <c r="F19" i="106" s="1"/>
  <c r="B16" i="106"/>
  <c r="D9" i="2"/>
  <c r="C16" i="106" s="1"/>
  <c r="D69" i="1"/>
  <c r="E69" i="1"/>
  <c r="E13" i="1"/>
  <c r="D13" i="1"/>
  <c r="G23" i="106"/>
  <c r="H23" i="106"/>
  <c r="I23" i="106"/>
  <c r="J23" i="106"/>
  <c r="K23" i="106"/>
  <c r="L23" i="106"/>
  <c r="M23" i="106"/>
  <c r="N23" i="106"/>
  <c r="O23" i="106"/>
  <c r="P23" i="106"/>
  <c r="Q23" i="106"/>
  <c r="R23" i="106"/>
  <c r="S23" i="106"/>
  <c r="T23" i="106"/>
  <c r="U23" i="106"/>
  <c r="V23" i="106"/>
  <c r="W23" i="106"/>
  <c r="X23" i="106"/>
  <c r="C23" i="106"/>
  <c r="D23" i="106"/>
  <c r="F23" i="106"/>
  <c r="B23" i="106"/>
  <c r="A23" i="106"/>
  <c r="A36" i="106"/>
  <c r="A25" i="106" s="1"/>
  <c r="B36" i="106"/>
  <c r="B25" i="106" s="1"/>
  <c r="C25" i="106"/>
  <c r="A37" i="106"/>
  <c r="A26" i="106" s="1"/>
  <c r="B37" i="106"/>
  <c r="B26" i="106" s="1"/>
  <c r="C26" i="106"/>
  <c r="A38" i="106"/>
  <c r="A27" i="106" s="1"/>
  <c r="B38" i="106"/>
  <c r="B27" i="106" s="1"/>
  <c r="C27" i="106"/>
  <c r="F38" i="106"/>
  <c r="F27" i="106" s="1"/>
  <c r="H38" i="106"/>
  <c r="H27" i="106" s="1"/>
  <c r="I38" i="106"/>
  <c r="I27" i="106" s="1"/>
  <c r="J38" i="106"/>
  <c r="J27" i="106" s="1"/>
  <c r="A39" i="106"/>
  <c r="A28" i="106" s="1"/>
  <c r="B39" i="106"/>
  <c r="B28" i="106" s="1"/>
  <c r="C28" i="106"/>
  <c r="A40" i="106"/>
  <c r="A29" i="106" s="1"/>
  <c r="B40" i="106"/>
  <c r="B29" i="106" s="1"/>
  <c r="C29" i="106"/>
  <c r="F40" i="106"/>
  <c r="G40" i="106"/>
  <c r="G29" i="106" s="1"/>
  <c r="H40" i="106"/>
  <c r="H29" i="106" s="1"/>
  <c r="I40" i="106"/>
  <c r="I29" i="106" s="1"/>
  <c r="J40" i="106"/>
  <c r="J29" i="106" s="1"/>
  <c r="K40" i="106"/>
  <c r="K29" i="106" s="1"/>
  <c r="L40" i="106"/>
  <c r="M40" i="106"/>
  <c r="N40" i="106"/>
  <c r="O40" i="106"/>
  <c r="P40" i="106"/>
  <c r="Q40" i="106"/>
  <c r="Q29" i="106" s="1"/>
  <c r="R40" i="106"/>
  <c r="R29" i="106" s="1"/>
  <c r="S40" i="106"/>
  <c r="S29" i="106" s="1"/>
  <c r="T40" i="106"/>
  <c r="T29" i="106" s="1"/>
  <c r="U40" i="106"/>
  <c r="U29" i="106" s="1"/>
  <c r="V40" i="106"/>
  <c r="V29" i="106" s="1"/>
  <c r="W40" i="106"/>
  <c r="X40" i="106"/>
  <c r="X29" i="106" s="1"/>
  <c r="Y40" i="106"/>
  <c r="Y29" i="106" s="1"/>
  <c r="A41" i="106"/>
  <c r="A30" i="106" s="1"/>
  <c r="B41" i="106"/>
  <c r="B30" i="106" s="1"/>
  <c r="C30" i="106"/>
  <c r="A42" i="106"/>
  <c r="A31" i="106" s="1"/>
  <c r="B42" i="106"/>
  <c r="B31" i="106" s="1"/>
  <c r="C31" i="106"/>
  <c r="A43" i="106"/>
  <c r="A32" i="106" s="1"/>
  <c r="B43" i="106"/>
  <c r="B32" i="106" s="1"/>
  <c r="C32" i="106"/>
  <c r="B35" i="106"/>
  <c r="B24" i="106" s="1"/>
  <c r="C24" i="106"/>
  <c r="A35" i="106"/>
  <c r="A24" i="106" s="1"/>
  <c r="D36" i="106"/>
  <c r="D25" i="106" s="1"/>
  <c r="D37" i="106"/>
  <c r="D26" i="106" s="1"/>
  <c r="D38" i="106"/>
  <c r="D39" i="106"/>
  <c r="D28" i="106" s="1"/>
  <c r="D40" i="106"/>
  <c r="D29" i="106" s="1"/>
  <c r="D41" i="106"/>
  <c r="D30" i="106" s="1"/>
  <c r="D42" i="106"/>
  <c r="D31" i="106" s="1"/>
  <c r="D43" i="106"/>
  <c r="D32" i="106" s="1"/>
  <c r="AA23" i="2" a="1"/>
  <c r="AA23" i="2" s="1"/>
  <c r="Y43" i="106" s="1"/>
  <c r="Y32" i="106" s="1"/>
  <c r="Z23" i="2" a="1"/>
  <c r="Z23" i="2" s="1"/>
  <c r="X43" i="106" s="1"/>
  <c r="X32" i="106" s="1"/>
  <c r="Y23" i="2" a="1"/>
  <c r="Y23" i="2" s="1"/>
  <c r="W43" i="106" s="1"/>
  <c r="W32" i="106" s="1"/>
  <c r="X23" i="2" a="1"/>
  <c r="X23" i="2" s="1"/>
  <c r="V43" i="106" s="1"/>
  <c r="V32" i="106" s="1"/>
  <c r="W23" i="2" a="1"/>
  <c r="W23" i="2" s="1"/>
  <c r="U43" i="106" s="1"/>
  <c r="U32" i="106" s="1"/>
  <c r="V23" i="2" a="1"/>
  <c r="V23" i="2" s="1"/>
  <c r="T43" i="106" s="1"/>
  <c r="T32" i="106" s="1"/>
  <c r="U23" i="2" a="1"/>
  <c r="U23" i="2" s="1"/>
  <c r="S43" i="106" s="1"/>
  <c r="S32" i="106" s="1"/>
  <c r="T23" i="2" a="1"/>
  <c r="T23" i="2" s="1"/>
  <c r="R43" i="106" s="1"/>
  <c r="R32" i="106" s="1"/>
  <c r="S23" i="2" a="1"/>
  <c r="S23" i="2" s="1"/>
  <c r="Q43" i="106" s="1"/>
  <c r="Q32" i="106" s="1"/>
  <c r="R23" i="2" a="1"/>
  <c r="R23" i="2" s="1"/>
  <c r="P43" i="106" s="1"/>
  <c r="P32" i="106" s="1"/>
  <c r="Q23" i="2" a="1"/>
  <c r="Q23" i="2" s="1"/>
  <c r="O43" i="106" s="1"/>
  <c r="O32" i="106" s="1"/>
  <c r="P23" i="2" a="1"/>
  <c r="P23" i="2" s="1"/>
  <c r="N43" i="106" s="1"/>
  <c r="N32" i="106" s="1"/>
  <c r="O23" i="2" a="1"/>
  <c r="O23" i="2" s="1"/>
  <c r="M43" i="106" s="1"/>
  <c r="M32" i="106" s="1"/>
  <c r="N23" i="2" a="1"/>
  <c r="N23" i="2" s="1"/>
  <c r="L43" i="106" s="1"/>
  <c r="L32" i="106" s="1"/>
  <c r="M23" i="2" a="1"/>
  <c r="M23" i="2" s="1"/>
  <c r="K43" i="106" s="1"/>
  <c r="K32" i="106" s="1"/>
  <c r="L23" i="2" a="1"/>
  <c r="L23" i="2" s="1"/>
  <c r="J43" i="106" s="1"/>
  <c r="J32" i="106" s="1"/>
  <c r="K23" i="2" a="1"/>
  <c r="K23" i="2" s="1"/>
  <c r="I43" i="106" s="1"/>
  <c r="I32" i="106" s="1"/>
  <c r="J23" i="2" a="1"/>
  <c r="J23" i="2" s="1"/>
  <c r="H43" i="106" s="1"/>
  <c r="H32" i="106" s="1"/>
  <c r="I23" i="2" a="1"/>
  <c r="I23" i="2" s="1"/>
  <c r="G43" i="106" s="1"/>
  <c r="G32" i="106" s="1"/>
  <c r="H23" i="2" a="1"/>
  <c r="H23" i="2" s="1"/>
  <c r="F43" i="106" s="1"/>
  <c r="F32" i="106" s="1"/>
  <c r="AA22" i="2" a="1"/>
  <c r="AA22" i="2" s="1"/>
  <c r="Y42" i="106" s="1"/>
  <c r="Y31" i="106" s="1"/>
  <c r="Z22" i="2" a="1"/>
  <c r="Z22" i="2" s="1"/>
  <c r="X42" i="106" s="1"/>
  <c r="X31" i="106" s="1"/>
  <c r="Y22" i="2" a="1"/>
  <c r="Y22" i="2" s="1"/>
  <c r="W42" i="106" s="1"/>
  <c r="W31" i="106" s="1"/>
  <c r="X22" i="2" a="1"/>
  <c r="X22" i="2" s="1"/>
  <c r="V42" i="106" s="1"/>
  <c r="V31" i="106" s="1"/>
  <c r="W22" i="2" a="1"/>
  <c r="W22" i="2" s="1"/>
  <c r="U42" i="106" s="1"/>
  <c r="U31" i="106" s="1"/>
  <c r="V22" i="2" a="1"/>
  <c r="V22" i="2" s="1"/>
  <c r="T42" i="106" s="1"/>
  <c r="T31" i="106" s="1"/>
  <c r="U22" i="2" a="1"/>
  <c r="U22" i="2" s="1"/>
  <c r="S42" i="106" s="1"/>
  <c r="S31" i="106" s="1"/>
  <c r="T22" i="2" a="1"/>
  <c r="T22" i="2" s="1"/>
  <c r="R42" i="106" s="1"/>
  <c r="R31" i="106" s="1"/>
  <c r="S22" i="2" a="1"/>
  <c r="S22" i="2" s="1"/>
  <c r="Q42" i="106" s="1"/>
  <c r="Q31" i="106" s="1"/>
  <c r="R22" i="2" a="1"/>
  <c r="R22" i="2" s="1"/>
  <c r="P42" i="106" s="1"/>
  <c r="P31" i="106" s="1"/>
  <c r="Q22" i="2" a="1"/>
  <c r="Q22" i="2" s="1"/>
  <c r="O42" i="106" s="1"/>
  <c r="O31" i="106" s="1"/>
  <c r="P22" i="2" a="1"/>
  <c r="P22" i="2" s="1"/>
  <c r="N42" i="106" s="1"/>
  <c r="N31" i="106" s="1"/>
  <c r="O22" i="2" a="1"/>
  <c r="O22" i="2" s="1"/>
  <c r="M42" i="106" s="1"/>
  <c r="M31" i="106" s="1"/>
  <c r="N22" i="2" a="1"/>
  <c r="N22" i="2" s="1"/>
  <c r="L42" i="106" s="1"/>
  <c r="L31" i="106" s="1"/>
  <c r="M22" i="2" a="1"/>
  <c r="M22" i="2" s="1"/>
  <c r="K42" i="106" s="1"/>
  <c r="K31" i="106" s="1"/>
  <c r="L22" i="2" a="1"/>
  <c r="L22" i="2" s="1"/>
  <c r="J42" i="106" s="1"/>
  <c r="J31" i="106" s="1"/>
  <c r="K22" i="2" a="1"/>
  <c r="K22" i="2" s="1"/>
  <c r="I42" i="106" s="1"/>
  <c r="I31" i="106" s="1"/>
  <c r="J22" i="2" a="1"/>
  <c r="J22" i="2" s="1"/>
  <c r="H42" i="106" s="1"/>
  <c r="H31" i="106" s="1"/>
  <c r="I22" i="2" a="1"/>
  <c r="I22" i="2" s="1"/>
  <c r="G42" i="106" s="1"/>
  <c r="G31" i="106" s="1"/>
  <c r="H22" i="2" a="1"/>
  <c r="H22" i="2" s="1"/>
  <c r="F42" i="106" s="1"/>
  <c r="F31" i="106" s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70" i="1"/>
  <c r="D70" i="1"/>
  <c r="E58" i="1"/>
  <c r="D58" i="1"/>
  <c r="E57" i="1"/>
  <c r="D57" i="1"/>
  <c r="E56" i="1"/>
  <c r="D56" i="1"/>
  <c r="E55" i="1"/>
  <c r="D55" i="1"/>
  <c r="E54" i="1"/>
  <c r="D54" i="1"/>
  <c r="E53" i="1"/>
  <c r="D53" i="1"/>
  <c r="E51" i="1"/>
  <c r="D51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4" i="1"/>
  <c r="D34" i="1"/>
  <c r="E33" i="1"/>
  <c r="D33" i="1"/>
  <c r="E32" i="1"/>
  <c r="D32" i="1"/>
  <c r="E31" i="1"/>
  <c r="D31" i="1"/>
  <c r="E30" i="1"/>
  <c r="D30" i="1"/>
  <c r="E29" i="1"/>
  <c r="D29" i="1"/>
  <c r="E27" i="1"/>
  <c r="D27" i="1"/>
  <c r="E26" i="1"/>
  <c r="D26" i="1"/>
  <c r="E25" i="1"/>
  <c r="D25" i="1"/>
  <c r="E24" i="1"/>
  <c r="D24" i="1"/>
  <c r="E23" i="1"/>
  <c r="D23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4" i="1"/>
  <c r="D4" i="1"/>
  <c r="E3" i="1"/>
  <c r="D3" i="1"/>
  <c r="E2" i="1"/>
  <c r="D2" i="1"/>
  <c r="K17" i="106" l="1"/>
  <c r="K19" i="106" s="1"/>
  <c r="J18" i="106"/>
  <c r="I18" i="106"/>
  <c r="H18" i="106"/>
  <c r="D35" i="106"/>
  <c r="D24" i="106" s="1"/>
  <c r="F18" i="106"/>
  <c r="K18" i="106"/>
  <c r="M15" i="106"/>
  <c r="L15" i="106"/>
  <c r="L29" i="106"/>
  <c r="F29" i="106"/>
  <c r="P29" i="106"/>
  <c r="W29" i="106"/>
  <c r="O29" i="106"/>
  <c r="N29" i="106"/>
  <c r="M29" i="106"/>
  <c r="AA21" i="2" a="1"/>
  <c r="AA21" i="2" s="1"/>
  <c r="Y41" i="106" s="1"/>
  <c r="Y30" i="106" s="1"/>
  <c r="N21" i="2" a="1"/>
  <c r="N21" i="2" s="1"/>
  <c r="L41" i="106" s="1"/>
  <c r="L30" i="106" s="1"/>
  <c r="V21" i="2" a="1"/>
  <c r="V21" i="2" s="1"/>
  <c r="T41" i="106" s="1"/>
  <c r="T30" i="106" s="1"/>
  <c r="L21" i="2" a="1"/>
  <c r="L21" i="2" s="1"/>
  <c r="J41" i="106" s="1"/>
  <c r="J30" i="106" s="1"/>
  <c r="T21" i="2" a="1"/>
  <c r="T21" i="2" s="1"/>
  <c r="R41" i="106" s="1"/>
  <c r="R30" i="106" s="1"/>
  <c r="M21" i="2" a="1"/>
  <c r="M21" i="2" s="1"/>
  <c r="K41" i="106" s="1"/>
  <c r="K30" i="106" s="1"/>
  <c r="U21" i="2" a="1"/>
  <c r="U21" i="2" s="1"/>
  <c r="S41" i="106" s="1"/>
  <c r="S30" i="106" s="1"/>
  <c r="O21" i="2" a="1"/>
  <c r="O21" i="2" s="1"/>
  <c r="M41" i="106" s="1"/>
  <c r="M30" i="106" s="1"/>
  <c r="W21" i="2" a="1"/>
  <c r="W21" i="2" s="1"/>
  <c r="U41" i="106" s="1"/>
  <c r="U30" i="106" s="1"/>
  <c r="H21" i="2" a="1"/>
  <c r="H21" i="2" s="1"/>
  <c r="F41" i="106" s="1"/>
  <c r="F30" i="106" s="1"/>
  <c r="P21" i="2" a="1"/>
  <c r="P21" i="2" s="1"/>
  <c r="N41" i="106" s="1"/>
  <c r="N30" i="106" s="1"/>
  <c r="X21" i="2" a="1"/>
  <c r="X21" i="2" s="1"/>
  <c r="V41" i="106" s="1"/>
  <c r="V30" i="106" s="1"/>
  <c r="I21" i="2" a="1"/>
  <c r="I21" i="2" s="1"/>
  <c r="G41" i="106" s="1"/>
  <c r="G30" i="106" s="1"/>
  <c r="Q21" i="2" a="1"/>
  <c r="Q21" i="2" s="1"/>
  <c r="O41" i="106" s="1"/>
  <c r="O30" i="106" s="1"/>
  <c r="Y21" i="2" a="1"/>
  <c r="Y21" i="2" s="1"/>
  <c r="W41" i="106" s="1"/>
  <c r="W30" i="106" s="1"/>
  <c r="J21" i="2" a="1"/>
  <c r="J21" i="2" s="1"/>
  <c r="H41" i="106" s="1"/>
  <c r="H30" i="106" s="1"/>
  <c r="R21" i="2" a="1"/>
  <c r="R21" i="2" s="1"/>
  <c r="P41" i="106" s="1"/>
  <c r="P30" i="106" s="1"/>
  <c r="Z21" i="2" a="1"/>
  <c r="Z21" i="2" s="1"/>
  <c r="X41" i="106" s="1"/>
  <c r="X30" i="106" s="1"/>
  <c r="K21" i="2" a="1"/>
  <c r="K21" i="2" s="1"/>
  <c r="I41" i="106" s="1"/>
  <c r="I30" i="106" s="1"/>
  <c r="S21" i="2" a="1"/>
  <c r="S21" i="2" s="1"/>
  <c r="Q41" i="106" s="1"/>
  <c r="Q30" i="106" s="1"/>
  <c r="M17" i="106"/>
  <c r="L17" i="106"/>
  <c r="G17" i="106"/>
  <c r="G15" i="106"/>
  <c r="O15" i="2" a="1"/>
  <c r="O15" i="2" s="1"/>
  <c r="M35" i="106" s="1"/>
  <c r="M24" i="106" s="1"/>
  <c r="S16" i="2" a="1"/>
  <c r="S16" i="2" s="1"/>
  <c r="Q36" i="106" s="1"/>
  <c r="Q25" i="106" s="1"/>
  <c r="W15" i="2" a="1"/>
  <c r="W15" i="2" s="1"/>
  <c r="U35" i="106" s="1"/>
  <c r="U24" i="106" s="1"/>
  <c r="K16" i="2" a="1"/>
  <c r="K16" i="2" s="1"/>
  <c r="I36" i="106" s="1"/>
  <c r="I25" i="106" s="1"/>
  <c r="Y19" i="2" a="1"/>
  <c r="Y19" i="2" s="1"/>
  <c r="W39" i="106" s="1"/>
  <c r="W28" i="106" s="1"/>
  <c r="Q19" i="2" a="1"/>
  <c r="Q19" i="2" s="1"/>
  <c r="O39" i="106" s="1"/>
  <c r="O28" i="106" s="1"/>
  <c r="I19" i="2" a="1"/>
  <c r="I19" i="2" s="1"/>
  <c r="G39" i="106" s="1"/>
  <c r="G28" i="106" s="1"/>
  <c r="U18" i="2" a="1"/>
  <c r="U18" i="2" s="1"/>
  <c r="S38" i="106" s="1"/>
  <c r="S27" i="106" s="1"/>
  <c r="M18" i="2" a="1"/>
  <c r="M18" i="2" s="1"/>
  <c r="K38" i="106" s="1"/>
  <c r="K27" i="106" s="1"/>
  <c r="U17" i="2" a="1"/>
  <c r="U17" i="2" s="1"/>
  <c r="S37" i="106" s="1"/>
  <c r="S26" i="106" s="1"/>
  <c r="M17" i="2" a="1"/>
  <c r="M17" i="2" s="1"/>
  <c r="K37" i="106" s="1"/>
  <c r="K26" i="106" s="1"/>
  <c r="Y16" i="2" a="1"/>
  <c r="Y16" i="2" s="1"/>
  <c r="W36" i="106" s="1"/>
  <c r="W25" i="106" s="1"/>
  <c r="Q16" i="2" a="1"/>
  <c r="Q16" i="2" s="1"/>
  <c r="O36" i="106" s="1"/>
  <c r="O25" i="106" s="1"/>
  <c r="I16" i="2" a="1"/>
  <c r="I16" i="2" s="1"/>
  <c r="G36" i="106" s="1"/>
  <c r="G25" i="106" s="1"/>
  <c r="U15" i="2" a="1"/>
  <c r="U15" i="2" s="1"/>
  <c r="S35" i="106" s="1"/>
  <c r="S24" i="106" s="1"/>
  <c r="M15" i="2" a="1"/>
  <c r="M15" i="2" s="1"/>
  <c r="K35" i="106" s="1"/>
  <c r="S19" i="2" a="1"/>
  <c r="S19" i="2" s="1"/>
  <c r="Q39" i="106" s="1"/>
  <c r="Q28" i="106" s="1"/>
  <c r="O18" i="2" a="1"/>
  <c r="O18" i="2" s="1"/>
  <c r="M38" i="106" s="1"/>
  <c r="M27" i="106" s="1"/>
  <c r="AA16" i="2" a="1"/>
  <c r="AA16" i="2" s="1"/>
  <c r="Y36" i="106" s="1"/>
  <c r="Y25" i="106" s="1"/>
  <c r="K19" i="2" a="1"/>
  <c r="K19" i="2" s="1"/>
  <c r="I39" i="106" s="1"/>
  <c r="I28" i="106" s="1"/>
  <c r="W17" i="2" a="1"/>
  <c r="W17" i="2" s="1"/>
  <c r="U37" i="106" s="1"/>
  <c r="U26" i="106" s="1"/>
  <c r="AA19" i="2" a="1"/>
  <c r="AA19" i="2" s="1"/>
  <c r="Y39" i="106" s="1"/>
  <c r="Y28" i="106" s="1"/>
  <c r="W18" i="2" a="1"/>
  <c r="W18" i="2" s="1"/>
  <c r="U38" i="106" s="1"/>
  <c r="U27" i="106" s="1"/>
  <c r="O17" i="2" a="1"/>
  <c r="O17" i="2" s="1"/>
  <c r="M37" i="106" s="1"/>
  <c r="M26" i="106" s="1"/>
  <c r="H15" i="2" a="1"/>
  <c r="H15" i="2" s="1"/>
  <c r="F35" i="106" s="1"/>
  <c r="F24" i="106" s="1"/>
  <c r="X15" i="2" a="1"/>
  <c r="X15" i="2" s="1"/>
  <c r="V35" i="106" s="1"/>
  <c r="V24" i="106" s="1"/>
  <c r="T16" i="2" a="1"/>
  <c r="T16" i="2" s="1"/>
  <c r="R36" i="106" s="1"/>
  <c r="R25" i="106" s="1"/>
  <c r="X17" i="2" a="1"/>
  <c r="X17" i="2" s="1"/>
  <c r="V37" i="106" s="1"/>
  <c r="V26" i="106" s="1"/>
  <c r="X18" i="2" a="1"/>
  <c r="X18" i="2" s="1"/>
  <c r="V38" i="106" s="1"/>
  <c r="V27" i="106" s="1"/>
  <c r="P15" i="2" a="1"/>
  <c r="P15" i="2" s="1"/>
  <c r="N35" i="106" s="1"/>
  <c r="N24" i="106" s="1"/>
  <c r="L16" i="2" a="1"/>
  <c r="L16" i="2" s="1"/>
  <c r="J36" i="106" s="1"/>
  <c r="J25" i="106" s="1"/>
  <c r="H17" i="2" a="1"/>
  <c r="H17" i="2" s="1"/>
  <c r="F37" i="106" s="1"/>
  <c r="F26" i="106" s="1"/>
  <c r="P17" i="2" a="1"/>
  <c r="P17" i="2" s="1"/>
  <c r="N37" i="106" s="1"/>
  <c r="N26" i="106" s="1"/>
  <c r="P18" i="2" a="1"/>
  <c r="P18" i="2" s="1"/>
  <c r="N38" i="106" s="1"/>
  <c r="N27" i="106" s="1"/>
  <c r="L19" i="2" a="1"/>
  <c r="L19" i="2" s="1"/>
  <c r="J39" i="106" s="1"/>
  <c r="J28" i="106" s="1"/>
  <c r="T19" i="2" a="1"/>
  <c r="T19" i="2" s="1"/>
  <c r="R39" i="106" s="1"/>
  <c r="R28" i="106" s="1"/>
  <c r="I15" i="2" a="1"/>
  <c r="I15" i="2" s="1"/>
  <c r="G35" i="106" s="1"/>
  <c r="Q15" i="2" a="1"/>
  <c r="Q15" i="2" s="1"/>
  <c r="O35" i="106" s="1"/>
  <c r="Y15" i="2" a="1"/>
  <c r="Y15" i="2" s="1"/>
  <c r="W35" i="106" s="1"/>
  <c r="W24" i="106" s="1"/>
  <c r="M16" i="2" a="1"/>
  <c r="M16" i="2" s="1"/>
  <c r="K36" i="106" s="1"/>
  <c r="K25" i="106" s="1"/>
  <c r="U16" i="2" a="1"/>
  <c r="U16" i="2" s="1"/>
  <c r="S36" i="106" s="1"/>
  <c r="S25" i="106" s="1"/>
  <c r="I17" i="2" a="1"/>
  <c r="I17" i="2" s="1"/>
  <c r="G37" i="106" s="1"/>
  <c r="G26" i="106" s="1"/>
  <c r="Q17" i="2" a="1"/>
  <c r="Q17" i="2" s="1"/>
  <c r="O37" i="106" s="1"/>
  <c r="O26" i="106" s="1"/>
  <c r="Y17" i="2" a="1"/>
  <c r="Y17" i="2" s="1"/>
  <c r="W37" i="106" s="1"/>
  <c r="W26" i="106" s="1"/>
  <c r="Q18" i="2" a="1"/>
  <c r="Q18" i="2" s="1"/>
  <c r="O38" i="106" s="1"/>
  <c r="O27" i="106" s="1"/>
  <c r="Y18" i="2" a="1"/>
  <c r="Y18" i="2" s="1"/>
  <c r="W38" i="106" s="1"/>
  <c r="W27" i="106" s="1"/>
  <c r="M19" i="2" a="1"/>
  <c r="M19" i="2" s="1"/>
  <c r="K39" i="106" s="1"/>
  <c r="K28" i="106" s="1"/>
  <c r="U19" i="2" a="1"/>
  <c r="U19" i="2" s="1"/>
  <c r="S39" i="106" s="1"/>
  <c r="S28" i="106" s="1"/>
  <c r="J15" i="2" a="1"/>
  <c r="J15" i="2" s="1"/>
  <c r="H35" i="106" s="1"/>
  <c r="H24" i="106" s="1"/>
  <c r="R15" i="2" a="1"/>
  <c r="R15" i="2" s="1"/>
  <c r="P35" i="106" s="1"/>
  <c r="Z15" i="2" a="1"/>
  <c r="Z15" i="2" s="1"/>
  <c r="X35" i="106" s="1"/>
  <c r="X24" i="106" s="1"/>
  <c r="N16" i="2" a="1"/>
  <c r="N16" i="2" s="1"/>
  <c r="L36" i="106" s="1"/>
  <c r="L25" i="106" s="1"/>
  <c r="V16" i="2" a="1"/>
  <c r="V16" i="2" s="1"/>
  <c r="T36" i="106" s="1"/>
  <c r="T25" i="106" s="1"/>
  <c r="J17" i="2" a="1"/>
  <c r="J17" i="2" s="1"/>
  <c r="H37" i="106" s="1"/>
  <c r="H26" i="106" s="1"/>
  <c r="R17" i="2" a="1"/>
  <c r="R17" i="2" s="1"/>
  <c r="P37" i="106" s="1"/>
  <c r="P26" i="106" s="1"/>
  <c r="Z17" i="2" a="1"/>
  <c r="Z17" i="2" s="1"/>
  <c r="X37" i="106" s="1"/>
  <c r="X26" i="106" s="1"/>
  <c r="R18" i="2" a="1"/>
  <c r="R18" i="2" s="1"/>
  <c r="P38" i="106" s="1"/>
  <c r="P27" i="106" s="1"/>
  <c r="Z18" i="2" a="1"/>
  <c r="Z18" i="2" s="1"/>
  <c r="X38" i="106" s="1"/>
  <c r="X27" i="106" s="1"/>
  <c r="N19" i="2" a="1"/>
  <c r="N19" i="2" s="1"/>
  <c r="L39" i="106" s="1"/>
  <c r="L28" i="106" s="1"/>
  <c r="V19" i="2" a="1"/>
  <c r="V19" i="2" s="1"/>
  <c r="T39" i="106" s="1"/>
  <c r="T28" i="106" s="1"/>
  <c r="K15" i="2" a="1"/>
  <c r="K15" i="2" s="1"/>
  <c r="I35" i="106" s="1"/>
  <c r="I24" i="106" s="1"/>
  <c r="S15" i="2" a="1"/>
  <c r="S15" i="2" s="1"/>
  <c r="Q35" i="106" s="1"/>
  <c r="Q24" i="106" s="1"/>
  <c r="AA15" i="2" a="1"/>
  <c r="AA15" i="2" s="1"/>
  <c r="Y35" i="106" s="1"/>
  <c r="Y24" i="106" s="1"/>
  <c r="O16" i="2" a="1"/>
  <c r="O16" i="2" s="1"/>
  <c r="M36" i="106" s="1"/>
  <c r="M25" i="106" s="1"/>
  <c r="W16" i="2" a="1"/>
  <c r="W16" i="2" s="1"/>
  <c r="U36" i="106" s="1"/>
  <c r="U25" i="106" s="1"/>
  <c r="K17" i="2" a="1"/>
  <c r="K17" i="2" s="1"/>
  <c r="I37" i="106" s="1"/>
  <c r="I26" i="106" s="1"/>
  <c r="S17" i="2" a="1"/>
  <c r="S17" i="2" s="1"/>
  <c r="Q37" i="106" s="1"/>
  <c r="Q26" i="106" s="1"/>
  <c r="AA17" i="2" a="1"/>
  <c r="AA17" i="2" s="1"/>
  <c r="Y37" i="106" s="1"/>
  <c r="Y26" i="106" s="1"/>
  <c r="S18" i="2" a="1"/>
  <c r="S18" i="2" s="1"/>
  <c r="Q38" i="106" s="1"/>
  <c r="Q27" i="106" s="1"/>
  <c r="AA18" i="2" a="1"/>
  <c r="AA18" i="2" s="1"/>
  <c r="Y38" i="106" s="1"/>
  <c r="Y27" i="106" s="1"/>
  <c r="O19" i="2" a="1"/>
  <c r="O19" i="2" s="1"/>
  <c r="M39" i="106" s="1"/>
  <c r="M28" i="106" s="1"/>
  <c r="W19" i="2" a="1"/>
  <c r="W19" i="2" s="1"/>
  <c r="U39" i="106" s="1"/>
  <c r="U28" i="106" s="1"/>
  <c r="L15" i="2" a="1"/>
  <c r="L15" i="2" s="1"/>
  <c r="J35" i="106" s="1"/>
  <c r="J24" i="106" s="1"/>
  <c r="T15" i="2" a="1"/>
  <c r="T15" i="2" s="1"/>
  <c r="R35" i="106" s="1"/>
  <c r="R24" i="106" s="1"/>
  <c r="H16" i="2" a="1"/>
  <c r="H16" i="2" s="1"/>
  <c r="F36" i="106" s="1"/>
  <c r="F25" i="106" s="1"/>
  <c r="P16" i="2" a="1"/>
  <c r="P16" i="2" s="1"/>
  <c r="N36" i="106" s="1"/>
  <c r="N25" i="106" s="1"/>
  <c r="X16" i="2" a="1"/>
  <c r="X16" i="2" s="1"/>
  <c r="V36" i="106" s="1"/>
  <c r="V25" i="106" s="1"/>
  <c r="L17" i="2" a="1"/>
  <c r="L17" i="2" s="1"/>
  <c r="J37" i="106" s="1"/>
  <c r="J26" i="106" s="1"/>
  <c r="T17" i="2" a="1"/>
  <c r="T17" i="2" s="1"/>
  <c r="R37" i="106" s="1"/>
  <c r="R26" i="106" s="1"/>
  <c r="I18" i="2" a="1"/>
  <c r="I18" i="2" s="1"/>
  <c r="G38" i="106" s="1"/>
  <c r="G27" i="106" s="1"/>
  <c r="T18" i="2" a="1"/>
  <c r="T18" i="2" s="1"/>
  <c r="R38" i="106" s="1"/>
  <c r="R27" i="106" s="1"/>
  <c r="H19" i="2" a="1"/>
  <c r="H19" i="2" s="1"/>
  <c r="F39" i="106" s="1"/>
  <c r="F28" i="106" s="1"/>
  <c r="P19" i="2" a="1"/>
  <c r="P19" i="2" s="1"/>
  <c r="N39" i="106" s="1"/>
  <c r="N28" i="106" s="1"/>
  <c r="X19" i="2" a="1"/>
  <c r="X19" i="2" s="1"/>
  <c r="V39" i="106" s="1"/>
  <c r="V28" i="106" s="1"/>
  <c r="N15" i="2" a="1"/>
  <c r="N15" i="2" s="1"/>
  <c r="L35" i="106" s="1"/>
  <c r="L24" i="106" s="1"/>
  <c r="V15" i="2" a="1"/>
  <c r="V15" i="2" s="1"/>
  <c r="T35" i="106" s="1"/>
  <c r="T24" i="106" s="1"/>
  <c r="J16" i="2" a="1"/>
  <c r="J16" i="2" s="1"/>
  <c r="H36" i="106" s="1"/>
  <c r="H25" i="106" s="1"/>
  <c r="R16" i="2" a="1"/>
  <c r="R16" i="2" s="1"/>
  <c r="P36" i="106" s="1"/>
  <c r="P25" i="106" s="1"/>
  <c r="Z16" i="2" a="1"/>
  <c r="Z16" i="2" s="1"/>
  <c r="X36" i="106" s="1"/>
  <c r="X25" i="106" s="1"/>
  <c r="N17" i="2" a="1"/>
  <c r="N17" i="2" s="1"/>
  <c r="L37" i="106" s="1"/>
  <c r="L26" i="106" s="1"/>
  <c r="V17" i="2" a="1"/>
  <c r="V17" i="2" s="1"/>
  <c r="T37" i="106" s="1"/>
  <c r="T26" i="106" s="1"/>
  <c r="N18" i="2" a="1"/>
  <c r="N18" i="2" s="1"/>
  <c r="L38" i="106" s="1"/>
  <c r="L27" i="106" s="1"/>
  <c r="V18" i="2" a="1"/>
  <c r="V18" i="2" s="1"/>
  <c r="T38" i="106" s="1"/>
  <c r="T27" i="106" s="1"/>
  <c r="J19" i="2" a="1"/>
  <c r="J19" i="2" s="1"/>
  <c r="H39" i="106" s="1"/>
  <c r="H28" i="106" s="1"/>
  <c r="R19" i="2" a="1"/>
  <c r="R19" i="2" s="1"/>
  <c r="P39" i="106" s="1"/>
  <c r="P28" i="106" s="1"/>
  <c r="Z19" i="2" a="1"/>
  <c r="Z19" i="2" s="1"/>
  <c r="X39" i="106" s="1"/>
  <c r="X28" i="106" s="1"/>
  <c r="D27" i="106"/>
  <c r="O24" i="106" l="1"/>
  <c r="P24" i="106"/>
  <c r="K24" i="106"/>
  <c r="G24" i="106"/>
  <c r="R6" i="2"/>
  <c r="H6" i="2"/>
  <c r="J20" i="106"/>
  <c r="K20" i="106"/>
  <c r="I20" i="106"/>
  <c r="AA6" i="2"/>
  <c r="X6" i="2"/>
  <c r="L6" i="2"/>
  <c r="Y6" i="2"/>
  <c r="F20" i="106"/>
  <c r="M6" i="2"/>
  <c r="S6" i="2"/>
  <c r="H20" i="106"/>
  <c r="U6" i="2"/>
  <c r="O6" i="2"/>
  <c r="J6" i="2"/>
  <c r="Q6" i="2"/>
  <c r="W6" i="2"/>
  <c r="T6" i="2"/>
  <c r="Z6" i="2"/>
  <c r="N6" i="2"/>
  <c r="I6" i="2"/>
  <c r="K6" i="2"/>
  <c r="I6" i="106" s="1"/>
  <c r="V6" i="2"/>
  <c r="P6" i="2"/>
  <c r="AA8" i="2"/>
  <c r="J8" i="2"/>
  <c r="M8" i="2"/>
  <c r="L8" i="2"/>
  <c r="K10" i="2"/>
  <c r="K8" i="2"/>
  <c r="G6" i="2" l="1"/>
  <c r="E6" i="106" s="1"/>
  <c r="X18" i="106"/>
  <c r="X20" i="106" s="1"/>
  <c r="V10" i="2"/>
  <c r="W6" i="106"/>
  <c r="P9" i="106"/>
  <c r="N6" i="106"/>
  <c r="O6" i="106"/>
  <c r="U8" i="2"/>
  <c r="S10" i="2"/>
  <c r="Y11" i="106"/>
  <c r="Y6" i="106"/>
  <c r="O10" i="2"/>
  <c r="M6" i="106"/>
  <c r="M19" i="106" s="1"/>
  <c r="X10" i="2"/>
  <c r="AA10" i="2"/>
  <c r="K6" i="106"/>
  <c r="J10" i="2"/>
  <c r="U10" i="2"/>
  <c r="S11" i="106"/>
  <c r="T11" i="106"/>
  <c r="S6" i="106"/>
  <c r="F6" i="106"/>
  <c r="L6" i="106"/>
  <c r="N8" i="2"/>
  <c r="H8" i="2"/>
  <c r="H10" i="2"/>
  <c r="P6" i="106"/>
  <c r="V8" i="2"/>
  <c r="N10" i="2"/>
  <c r="X8" i="2"/>
  <c r="Z10" i="2"/>
  <c r="H6" i="106"/>
  <c r="T6" i="106"/>
  <c r="Z8" i="2"/>
  <c r="I10" i="2"/>
  <c r="S8" i="2"/>
  <c r="Q6" i="106"/>
  <c r="W8" i="2"/>
  <c r="I8" i="2"/>
  <c r="T10" i="2"/>
  <c r="X11" i="106"/>
  <c r="G6" i="106"/>
  <c r="X6" i="106"/>
  <c r="W10" i="2"/>
  <c r="T8" i="2"/>
  <c r="Q11" i="106"/>
  <c r="U11" i="106"/>
  <c r="U6" i="106"/>
  <c r="N9" i="106"/>
  <c r="R6" i="106"/>
  <c r="M10" i="2"/>
  <c r="J6" i="106"/>
  <c r="L10" i="2"/>
  <c r="R11" i="106"/>
  <c r="V6" i="106"/>
  <c r="V11" i="106"/>
  <c r="K7" i="2"/>
  <c r="L18" i="106" l="1"/>
  <c r="L19" i="106"/>
  <c r="E18" i="106"/>
  <c r="E19" i="106"/>
  <c r="G18" i="106"/>
  <c r="G19" i="106"/>
  <c r="M18" i="106"/>
  <c r="N17" i="106"/>
  <c r="N19" i="106" s="1"/>
  <c r="N15" i="106"/>
  <c r="N18" i="106" s="1"/>
  <c r="Y18" i="106"/>
  <c r="Y20" i="106" s="1"/>
  <c r="P11" i="106"/>
  <c r="P12" i="106" s="1"/>
  <c r="W19" i="106"/>
  <c r="W18" i="106"/>
  <c r="W20" i="106" s="1"/>
  <c r="P15" i="106"/>
  <c r="P17" i="106"/>
  <c r="P19" i="106" s="1"/>
  <c r="O8" i="2"/>
  <c r="O9" i="106"/>
  <c r="O11" i="106"/>
  <c r="O12" i="106" s="1"/>
  <c r="J7" i="2"/>
  <c r="M7" i="2"/>
  <c r="L7" i="2"/>
  <c r="Z7" i="2"/>
  <c r="L20" i="106" l="1"/>
  <c r="N7" i="2" s="1"/>
  <c r="G20" i="106"/>
  <c r="I7" i="2" s="1"/>
  <c r="E20" i="106"/>
  <c r="G7" i="2" s="1"/>
  <c r="M20" i="106"/>
  <c r="O7" i="2" s="1"/>
  <c r="N20" i="106"/>
  <c r="P7" i="2" s="1"/>
  <c r="P10" i="2"/>
  <c r="R10" i="2"/>
  <c r="R8" i="2"/>
  <c r="P18" i="106"/>
  <c r="P20" i="106" s="1"/>
  <c r="O17" i="106"/>
  <c r="O19" i="106" s="1"/>
  <c r="O15" i="106"/>
  <c r="O18" i="106" s="1"/>
  <c r="V7" i="2"/>
  <c r="U7" i="2"/>
  <c r="S7" i="2"/>
  <c r="AA7" i="2"/>
  <c r="T7" i="2"/>
  <c r="Y7" i="2"/>
  <c r="H7" i="2"/>
  <c r="W7" i="2"/>
  <c r="P8" i="2"/>
  <c r="X7" i="2"/>
  <c r="O20" i="106" l="1"/>
  <c r="Q7" i="2" s="1"/>
  <c r="Q10" i="2"/>
  <c r="Q8" i="2"/>
  <c r="R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<sst xmlns="http://schemas.openxmlformats.org/spreadsheetml/2006/main" count="1417" uniqueCount="181">
  <si>
    <t>MATERIA PRIMA</t>
  </si>
  <si>
    <t>PROVEEDOR</t>
  </si>
  <si>
    <t>TIPO</t>
  </si>
  <si>
    <t>C</t>
  </si>
  <si>
    <t>N</t>
  </si>
  <si>
    <t>N-NH4</t>
  </si>
  <si>
    <t>N-NO3</t>
  </si>
  <si>
    <t>N-org</t>
  </si>
  <si>
    <t>N-ur</t>
  </si>
  <si>
    <t>P</t>
  </si>
  <si>
    <t>K</t>
  </si>
  <si>
    <t>CaO</t>
  </si>
  <si>
    <t>MgO</t>
  </si>
  <si>
    <t>S</t>
  </si>
  <si>
    <t>B</t>
  </si>
  <si>
    <t>Co</t>
  </si>
  <si>
    <t>Cu</t>
  </si>
  <si>
    <t>Fe</t>
  </si>
  <si>
    <t>Mn</t>
  </si>
  <si>
    <t>Mo</t>
  </si>
  <si>
    <t>SiO2</t>
  </si>
  <si>
    <t>Zn</t>
  </si>
  <si>
    <t>Na</t>
  </si>
  <si>
    <t>PRODUCTO</t>
  </si>
  <si>
    <t>ANIBAL ARANGO</t>
  </si>
  <si>
    <t>SULFATO CALCIO</t>
  </si>
  <si>
    <t>KIESERITA</t>
  </si>
  <si>
    <t>MANUCHAR</t>
  </si>
  <si>
    <t>CAL DOLOMITA</t>
  </si>
  <si>
    <t>BM</t>
  </si>
  <si>
    <t>SILICATO MAGNESIO</t>
  </si>
  <si>
    <t>JULIAN SALDARRIAGA</t>
  </si>
  <si>
    <t>CARBONATO CALCIO</t>
  </si>
  <si>
    <t>AGROCALES</t>
  </si>
  <si>
    <t>NUCLEO 4</t>
  </si>
  <si>
    <t>CANTIDAD</t>
  </si>
  <si>
    <t>G</t>
  </si>
  <si>
    <t>Q</t>
  </si>
  <si>
    <t>ID</t>
  </si>
  <si>
    <t>KIESERITA_MANUCHAR_P</t>
  </si>
  <si>
    <t>SILICATO MAGNESIO_JULIAN SALDARRIAGA_P</t>
  </si>
  <si>
    <t>LOTE</t>
  </si>
  <si>
    <t>TOTAL</t>
  </si>
  <si>
    <t>BENTONITA GRIS</t>
  </si>
  <si>
    <t>DIDIER HOYOS</t>
  </si>
  <si>
    <t>UREA</t>
  </si>
  <si>
    <t>PRECISAGRO</t>
  </si>
  <si>
    <t>SAM</t>
  </si>
  <si>
    <t>NUTRICION PLANTAS</t>
  </si>
  <si>
    <t>KCL</t>
  </si>
  <si>
    <t>SQM</t>
  </si>
  <si>
    <t>DAP</t>
  </si>
  <si>
    <t>SILIMAGRAN</t>
  </si>
  <si>
    <t>CALFERQUIM</t>
  </si>
  <si>
    <t>RAIFOS20</t>
  </si>
  <si>
    <t>ROCA FOSFÓRICA</t>
  </si>
  <si>
    <t>FOSFATOS HUILA</t>
  </si>
  <si>
    <t>ULEXITA</t>
  </si>
  <si>
    <t>ATEQUIMICO</t>
  </si>
  <si>
    <t>BENTONITA ROJA</t>
  </si>
  <si>
    <t>MINERALES</t>
  </si>
  <si>
    <t>PRACO</t>
  </si>
  <si>
    <t>DISAN</t>
  </si>
  <si>
    <t>EVOAGRO</t>
  </si>
  <si>
    <t>MAP</t>
  </si>
  <si>
    <t>HELVECIA</t>
  </si>
  <si>
    <t>HYM</t>
  </si>
  <si>
    <t>SILICATO HIERRO</t>
  </si>
  <si>
    <t>FERTIMENORES</t>
  </si>
  <si>
    <t>PANTEKALI</t>
  </si>
  <si>
    <t>MF-17-6-18-2</t>
  </si>
  <si>
    <t>BORO G</t>
  </si>
  <si>
    <t>v</t>
  </si>
  <si>
    <t>MKP</t>
  </si>
  <si>
    <t>SULFATO POTASIO</t>
  </si>
  <si>
    <t>SULFATO CALCIO P</t>
  </si>
  <si>
    <t>HENRY CORONADO</t>
  </si>
  <si>
    <t>OXIDO MAGNESIO</t>
  </si>
  <si>
    <t>ATEQUIMICOS</t>
  </si>
  <si>
    <t>KCL STD</t>
  </si>
  <si>
    <t>CARBONITRO</t>
  </si>
  <si>
    <t>L</t>
  </si>
  <si>
    <t>CALFERZINC P</t>
  </si>
  <si>
    <t>SULFATO ZINC</t>
  </si>
  <si>
    <t>FERTICAUCA</t>
  </si>
  <si>
    <t>BENTONITA GRIS_FERTICAUCA_P</t>
  </si>
  <si>
    <t>CIAMSA</t>
  </si>
  <si>
    <t>g</t>
  </si>
  <si>
    <t>NUCLEO HIERRO</t>
  </si>
  <si>
    <t>CAMPOFERT</t>
  </si>
  <si>
    <t>MF-23-3-20-4Ca-3Si</t>
  </si>
  <si>
    <t>MICRON CS</t>
  </si>
  <si>
    <t>MICRON C</t>
  </si>
  <si>
    <t>NITROFERT</t>
  </si>
  <si>
    <t>MF 23-3-20</t>
  </si>
  <si>
    <t>OP</t>
  </si>
  <si>
    <t>CODIGO</t>
  </si>
  <si>
    <r>
      <t>TOLERANCIAS*</t>
    </r>
    <r>
      <rPr>
        <vertAlign val="superscript"/>
        <sz val="11"/>
        <color theme="1"/>
        <rFont val="Noto Sans"/>
        <family val="2"/>
      </rPr>
      <t>2</t>
    </r>
  </si>
  <si>
    <r>
      <rPr>
        <b/>
        <u/>
        <sz val="11"/>
        <color rgb="FF000000"/>
        <rFont val="Segoe UI"/>
        <family val="2"/>
      </rPr>
      <t>NPK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¿El contenido está fuera de rango [4%-32%]?*</t>
    </r>
    <r>
      <rPr>
        <vertAlign val="superscript"/>
        <sz val="11"/>
        <color rgb="FF000000"/>
        <rFont val="Segoe UI"/>
        <family val="2"/>
      </rPr>
      <t>3</t>
    </r>
  </si>
  <si>
    <r>
      <rPr>
        <b/>
        <u/>
        <sz val="11"/>
        <color rgb="FF000000"/>
        <rFont val="Segoe UI"/>
        <family val="2"/>
      </rPr>
      <t>Secundarios y menores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¿La tolerancia supera el 50% o 1.5pp?*</t>
    </r>
    <r>
      <rPr>
        <vertAlign val="superscript"/>
        <sz val="11"/>
        <color rgb="FF000000"/>
        <rFont val="Segoe UI"/>
        <family val="2"/>
      </rPr>
      <t>4</t>
    </r>
  </si>
  <si>
    <t>Tolerancia permitida</t>
  </si>
  <si>
    <t>Tolerancia Mínima NTC</t>
  </si>
  <si>
    <t>Tolerancia Máxima NTC</t>
  </si>
  <si>
    <t>SC</t>
  </si>
  <si>
    <t>SS</t>
  </si>
  <si>
    <r>
      <t xml:space="preserve">VERIFICACION FORMULACIONES OP
</t>
    </r>
    <r>
      <rPr>
        <b/>
        <sz val="8"/>
        <color theme="1"/>
        <rFont val="Calibri"/>
        <family val="2"/>
        <scheme val="minor"/>
      </rPr>
      <t>SISTEMA DE GESTIÓN INTEGRAL</t>
    </r>
  </si>
  <si>
    <t>CÓDIGO: RC-SI##</t>
  </si>
  <si>
    <t>VERSIÓN: 0</t>
  </si>
  <si>
    <t>TOLERANCIA MÍNIMA</t>
  </si>
  <si>
    <t>TOLERANCIA MÁXIMA</t>
  </si>
  <si>
    <t>CRITERIO MINIMO</t>
  </si>
  <si>
    <t>CRITERIO MAXIMO</t>
  </si>
  <si>
    <t>REGLA DECISIÓN</t>
  </si>
  <si>
    <t>Regla de Decisión</t>
  </si>
  <si>
    <t>OP001</t>
  </si>
  <si>
    <t>NUCLEO CAMASI YARA L0</t>
  </si>
  <si>
    <t>JAMAROL</t>
  </si>
  <si>
    <t>VINAZA</t>
  </si>
  <si>
    <t>MASTERCAMPO</t>
  </si>
  <si>
    <t>CARBONATO CALCIO_JAMAROL_P</t>
  </si>
  <si>
    <t>VINAZA_MASTERCAMPO_L</t>
  </si>
  <si>
    <t>FECHA</t>
  </si>
  <si>
    <t>14-04-2025</t>
  </si>
  <si>
    <t>RESULTADO</t>
  </si>
  <si>
    <t>C/ST</t>
  </si>
  <si>
    <t>VERIFICACION FORMULACIONES OP
SISTEMA DE GESTIÓN INTEGRAL</t>
  </si>
  <si>
    <t>ST</t>
  </si>
  <si>
    <t>OP002</t>
  </si>
  <si>
    <t>MF 8-17-34-1S</t>
  </si>
  <si>
    <t>UREA_PRECISAGRO_G</t>
  </si>
  <si>
    <t>SAM_NUTRICION PLANTAS_G</t>
  </si>
  <si>
    <t>SILIMAGRAN_CALFERQUIM_G</t>
  </si>
  <si>
    <t>MAP_PRECISAGRO_G</t>
  </si>
  <si>
    <t>KCL_SQM_G</t>
  </si>
  <si>
    <t>CARBONITRO_CALFERQUIM_L</t>
  </si>
  <si>
    <t>ZUELO CA</t>
  </si>
  <si>
    <t>MAGNE 3</t>
  </si>
  <si>
    <t>K2K</t>
  </si>
  <si>
    <t>ZUELO CA_CALFERQUIM_G</t>
  </si>
  <si>
    <t>NC</t>
  </si>
  <si>
    <t>OP003</t>
  </si>
  <si>
    <t>MFE 13-36-10+EM L3</t>
  </si>
  <si>
    <t>DAP_EVOAGRO_G</t>
  </si>
  <si>
    <t>OP004</t>
  </si>
  <si>
    <t>MFE 15-21-1+EM</t>
  </si>
  <si>
    <t>RAIFOS20_CALFERQUIM_G</t>
  </si>
  <si>
    <t>OP005</t>
  </si>
  <si>
    <t>MFE 6-6-33+EM</t>
  </si>
  <si>
    <t>OP006</t>
  </si>
  <si>
    <t>MF 17-6-18-2-1</t>
  </si>
  <si>
    <t>NUCLEO 4_CALFERQUIM_G</t>
  </si>
  <si>
    <t>OP007</t>
  </si>
  <si>
    <t>15-04-2025</t>
  </si>
  <si>
    <t>NUCLEO 4 L3</t>
  </si>
  <si>
    <t>SULFATO CALCIO_ANIBAL ARANGO_P</t>
  </si>
  <si>
    <t>CAL DOLOMITA_BM_P</t>
  </si>
  <si>
    <t>MAYOR*</t>
  </si>
  <si>
    <t>FORMULA FT</t>
  </si>
  <si>
    <t>Calculo Tolerancia</t>
  </si>
  <si>
    <t>NPK</t>
  </si>
  <si>
    <t>OP008</t>
  </si>
  <si>
    <t>16-04-2025</t>
  </si>
  <si>
    <t>NUCLEO FOSFORO10 REF</t>
  </si>
  <si>
    <t>ROCA FOSFÓRICA-28</t>
  </si>
  <si>
    <t>ROCA FOSFORICA-26</t>
  </si>
  <si>
    <t>ROCA FOSFORICA-24</t>
  </si>
  <si>
    <t>ROCA FOSFORICA-30</t>
  </si>
  <si>
    <t>ROCA FOSFORICA-24_PRACO_P</t>
  </si>
  <si>
    <t>HIDROXIDO CALCIO</t>
  </si>
  <si>
    <t>HIDROXIDO CALCIO_JAMAROL_P</t>
  </si>
  <si>
    <t>OP009</t>
  </si>
  <si>
    <t>NUCLEO FOSFORO10</t>
  </si>
  <si>
    <t>21-04-2025</t>
  </si>
  <si>
    <t>OP010</t>
  </si>
  <si>
    <t>OP011</t>
  </si>
  <si>
    <t>NUCLEO CAMASI GRIS L0</t>
  </si>
  <si>
    <t>COMERCIALIZADORA HA</t>
  </si>
  <si>
    <t>BENTONITA GRIS_COMERCIALIZADORA HA_P</t>
  </si>
  <si>
    <t>OP012</t>
  </si>
  <si>
    <t>MFE 6-6-33+EM L1</t>
  </si>
  <si>
    <t>OP013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</si>
</sst>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9847407452621"/>
      <name val="Noto Sans"/>
      <family val="2"/>
    </font>
    <font>
      <b/>
      <sz val="11"/>
      <color theme="1" tint="4.9989318521683403E-2"/>
      <name val="Noto Sans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Noto Sans"/>
      <family val="2"/>
    </font>
    <font>
      <sz val="11"/>
      <color rgb="FF000000"/>
      <name val="Segoe UI"/>
      <family val="2"/>
    </font>
    <font>
      <b/>
      <u/>
      <sz val="11"/>
      <color rgb="FF000000"/>
      <name val="Segoe UI"/>
      <family val="2"/>
    </font>
    <font>
      <b/>
      <sz val="11"/>
      <color rgb="FF000000"/>
      <name val="Segoe UI"/>
      <family val="2"/>
    </font>
    <font>
      <vertAlign val="superscript"/>
      <sz val="11"/>
      <color rgb="FF000000"/>
      <name val="Segoe UI"/>
      <family val="2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0" tint="-0.14999847407452621"/>
      <name val="Noto Sans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DDB6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4">
    <xf numFmtId="0" fontId="0" fillId="0" borderId="0" xfId="0"/>
    <xf numFmtId="0" fontId="0" fillId="3" borderId="0" xfId="0" applyFont="1" applyFill="1"/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9" fontId="0" fillId="0" borderId="0" xfId="1" applyFont="1"/>
    <xf numFmtId="0" fontId="3" fillId="2" borderId="1" xfId="0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/>
    <xf numFmtId="9" fontId="4" fillId="2" borderId="1" xfId="1" applyFont="1" applyFill="1" applyBorder="1"/>
    <xf numFmtId="9" fontId="4" fillId="2" borderId="5" xfId="1" applyFont="1" applyFill="1" applyBorder="1"/>
    <xf numFmtId="0" fontId="3" fillId="4" borderId="1" xfId="0" applyFont="1" applyFill="1" applyBorder="1" applyAlignment="1">
      <alignment horizontal="center" vertical="center"/>
    </xf>
    <xf numFmtId="9" fontId="0" fillId="3" borderId="0" xfId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9" fontId="0" fillId="3" borderId="0" xfId="0" applyNumberFormat="1" applyFont="1" applyFill="1" applyAlignment="1">
      <alignment horizontal="center"/>
    </xf>
    <xf numFmtId="0" fontId="0" fillId="3" borderId="0" xfId="0" applyNumberFormat="1" applyFont="1" applyFill="1"/>
    <xf numFmtId="164" fontId="0" fillId="0" borderId="0" xfId="1" applyNumberFormat="1" applyFont="1"/>
    <xf numFmtId="10" fontId="0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0" fontId="12" fillId="5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1" fillId="0" borderId="1" xfId="0" applyFont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0" xfId="0" applyFill="1" applyBorder="1"/>
    <xf numFmtId="164" fontId="0" fillId="3" borderId="0" xfId="1" applyNumberFormat="1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7" borderId="0" xfId="0" applyFill="1" applyBorder="1"/>
    <xf numFmtId="0" fontId="0" fillId="7" borderId="19" xfId="0" applyFill="1" applyBorder="1"/>
    <xf numFmtId="0" fontId="0" fillId="7" borderId="2" xfId="0" applyFill="1" applyBorder="1"/>
    <xf numFmtId="0" fontId="0" fillId="7" borderId="3" xfId="0" applyFill="1" applyBorder="1"/>
    <xf numFmtId="164" fontId="0" fillId="7" borderId="3" xfId="1" applyNumberFormat="1" applyFont="1" applyFill="1" applyBorder="1"/>
    <xf numFmtId="164" fontId="0" fillId="7" borderId="4" xfId="1" applyNumberFormat="1" applyFont="1" applyFill="1" applyBorder="1"/>
    <xf numFmtId="10" fontId="0" fillId="3" borderId="16" xfId="1" applyNumberFormat="1" applyFont="1" applyFill="1" applyBorder="1"/>
    <xf numFmtId="10" fontId="0" fillId="3" borderId="17" xfId="1" applyNumberFormat="1" applyFont="1" applyFill="1" applyBorder="1"/>
    <xf numFmtId="10" fontId="0" fillId="3" borderId="0" xfId="1" applyNumberFormat="1" applyFont="1" applyFill="1" applyBorder="1"/>
    <xf numFmtId="10" fontId="0" fillId="3" borderId="19" xfId="1" applyNumberFormat="1" applyFont="1" applyFill="1" applyBorder="1"/>
    <xf numFmtId="10" fontId="0" fillId="3" borderId="3" xfId="1" applyNumberFormat="1" applyFont="1" applyFill="1" applyBorder="1"/>
    <xf numFmtId="10" fontId="0" fillId="3" borderId="4" xfId="1" applyNumberFormat="1" applyFont="1" applyFill="1" applyBorder="1"/>
    <xf numFmtId="9" fontId="0" fillId="7" borderId="0" xfId="1" applyNumberFormat="1" applyFont="1" applyFill="1" applyBorder="1"/>
    <xf numFmtId="9" fontId="0" fillId="7" borderId="19" xfId="1" applyNumberFormat="1" applyFont="1" applyFill="1" applyBorder="1"/>
    <xf numFmtId="9" fontId="0" fillId="7" borderId="3" xfId="1" applyNumberFormat="1" applyFont="1" applyFill="1" applyBorder="1"/>
    <xf numFmtId="9" fontId="0" fillId="7" borderId="4" xfId="1" applyNumberFormat="1" applyFont="1" applyFill="1" applyBorder="1"/>
    <xf numFmtId="0" fontId="12" fillId="0" borderId="21" xfId="0" applyFont="1" applyBorder="1" applyAlignment="1">
      <alignment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0" fillId="0" borderId="0" xfId="0" applyBorder="1" applyAlignment="1"/>
    <xf numFmtId="49" fontId="3" fillId="2" borderId="6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49" fontId="3" fillId="2" borderId="0" xfId="0" applyNumberFormat="1" applyFont="1" applyFill="1" applyBorder="1" applyAlignment="1">
      <alignment horizontal="left" vertical="center"/>
    </xf>
    <xf numFmtId="0" fontId="0" fillId="2" borderId="7" xfId="0" applyFill="1" applyBorder="1" applyAlignment="1"/>
    <xf numFmtId="0" fontId="0" fillId="2" borderId="12" xfId="0" applyFill="1" applyBorder="1" applyAlignment="1"/>
    <xf numFmtId="0" fontId="0" fillId="2" borderId="9" xfId="0" applyFill="1" applyBorder="1" applyAlignment="1"/>
    <xf numFmtId="0" fontId="0" fillId="2" borderId="13" xfId="0" applyFill="1" applyBorder="1" applyAlignment="1"/>
    <xf numFmtId="0" fontId="0" fillId="2" borderId="10" xfId="0" applyFill="1" applyBorder="1" applyAlignment="1"/>
    <xf numFmtId="0" fontId="0" fillId="2" borderId="14" xfId="0" applyFill="1" applyBorder="1" applyAlignment="1"/>
    <xf numFmtId="0" fontId="3" fillId="2" borderId="6" xfId="0" applyNumberFormat="1" applyFont="1" applyFill="1" applyBorder="1" applyAlignment="1">
      <alignment horizontal="center" vertical="center" wrapText="1"/>
    </xf>
    <xf numFmtId="165" fontId="3" fillId="2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10" fontId="0" fillId="3" borderId="0" xfId="1" applyNumberFormat="1" applyFont="1" applyFill="1" applyBorder="1" applyProtection="1"/>
    <xf numFmtId="10" fontId="0" fillId="3" borderId="3" xfId="1" applyNumberFormat="1" applyFont="1" applyFill="1" applyBorder="1" applyProtection="1"/>
    <xf numFmtId="10" fontId="0" fillId="0" borderId="0" xfId="0" applyNumberFormat="1"/>
    <xf numFmtId="164" fontId="3" fillId="2" borderId="1" xfId="0" applyNumberFormat="1" applyFont="1" applyFill="1" applyBorder="1" applyAlignment="1">
      <alignment horizontal="center" vertical="center"/>
    </xf>
    <xf numFmtId="10" fontId="0" fillId="3" borderId="16" xfId="0" applyNumberFormat="1" applyFill="1" applyBorder="1"/>
    <xf numFmtId="10" fontId="0" fillId="3" borderId="0" xfId="0" applyNumberFormat="1" applyFill="1" applyBorder="1"/>
    <xf numFmtId="0" fontId="4" fillId="2" borderId="6" xfId="0" applyFont="1" applyFill="1" applyBorder="1"/>
    <xf numFmtId="0" fontId="3" fillId="4" borderId="2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5" fillId="0" borderId="8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</cellXfs>
  <cellStyles count="2">
    <cellStyle name="Normal" xfId="0" builtinId="0"/>
    <cellStyle name="Porcentaje" xfId="1" builtinId="5"/>
  </cellStyles>
  <dxfs count="468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numFmt numFmtId="13" formatCode="0%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family val="2"/>
      </font>
      <fill>
        <patternFill patternType="solid">
          <fgColor indexed="64"/>
          <bgColor theme="0" tint="-0.1499984740745262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Noto Sans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ADDB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142875</xdr:rowOff>
        </xdr:from>
        <xdr:to>
          <xdr:col>3</xdr:col>
          <xdr:colOff>1619250</xdr:colOff>
          <xdr:row>30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248478</xdr:colOff>
      <xdr:row>0</xdr:row>
      <xdr:rowOff>0</xdr:rowOff>
    </xdr:from>
    <xdr:ext cx="1227399" cy="52608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278" y="0"/>
          <a:ext cx="1227399" cy="526083"/>
        </a:xfrm>
        <a:prstGeom prst="rect">
          <a:avLst/>
        </a:prstGeom>
        <a:ln>
          <a:noFill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81ADF9-4743-471E-B334-D3158955286E}" name="Tabla1" displayName="Tabla1" ref="A1:Y70" totalsRowShown="0" headerRowDxfId="466" dataDxfId="464" headerRowBorderDxfId="465" tableBorderDxfId="463">
  <autoFilter ref="A1:Y70" xr:uid="{2F81ADF9-4743-471E-B334-D3158955286E}"/>
  <sortState xmlns:xlrd2="http://schemas.microsoft.com/office/spreadsheetml/2017/richdata2" ref="A2:Y70">
    <sortCondition ref="A1:A70"/>
  </sortState>
  <tableColumns count="25">
    <tableColumn id="1" xr3:uid="{26D65CDD-7CA8-4417-BE7B-E8C03F759566}" name="MATERIA PRIMA" dataDxfId="462"/>
    <tableColumn id="2" xr3:uid="{D75BD544-2DBF-45DC-9A87-B933F8629F37}" name="PROVEEDOR" dataDxfId="461"/>
    <tableColumn id="3" xr3:uid="{33C026E5-F365-4B57-A2A6-53E0BCCBAC6D}" name="TIPO" dataDxfId="460"/>
    <tableColumn id="24" xr3:uid="{E1EAAE81-9451-48E0-90AC-7BB522A0372C}" name="ID" dataDxfId="459">
      <calculatedColumnFormula>IF(Tabla1[[#This Row],[MATERIA PRIMA]]="","",_xlfn.CONCAT(Tabla1[[#This Row],[MATERIA PRIMA]],"_",Tabla1[[#This Row],[PROVEEDOR]],"_",Tabla1[[#This Row],[TIPO]]))</calculatedColumnFormula>
    </tableColumn>
    <tableColumn id="25" xr3:uid="{281B60F2-7948-4175-A50E-EAD2E1B960D8}" name="v" dataDxfId="458">
      <calculatedColumnFormula>IF(Tabla1[[#This Row],[MATERIA PRIMA]]="","",IF(SUM(Tabla1[[#This Row],[C]:[Na]])&gt;0,"OK","P"))</calculatedColumnFormula>
    </tableColumn>
    <tableColumn id="4" xr3:uid="{453A1AF5-86AF-46FE-86E1-D2F05EB094DA}" name="C" dataDxfId="457"/>
    <tableColumn id="5" xr3:uid="{C1512F1A-5CAD-447C-81FF-0867B4CC9191}" name="N" dataDxfId="456"/>
    <tableColumn id="6" xr3:uid="{748755DB-F705-46BA-AE4B-E09DEA95C8A7}" name="N-NH4" dataDxfId="455"/>
    <tableColumn id="7" xr3:uid="{913ADD17-C5D1-4EC7-9CC7-8E59CAB4DB7A}" name="N-NO3" dataDxfId="454"/>
    <tableColumn id="8" xr3:uid="{25B15F1E-1E73-423A-B040-2C1A042A35B0}" name="N-org" dataDxfId="453"/>
    <tableColumn id="9" xr3:uid="{A56A8999-AC61-4C5D-931A-2CABFEB00BD9}" name="N-ur" dataDxfId="452"/>
    <tableColumn id="10" xr3:uid="{59EB5DF1-70FB-4F45-81E2-2F2A74B2F9BD}" name="P" dataDxfId="451"/>
    <tableColumn id="11" xr3:uid="{F9018515-BA46-4380-8C3C-7E70575F4841}" name="K" dataDxfId="450"/>
    <tableColumn id="12" xr3:uid="{11B21F12-17CA-4748-92AD-04753CED317C}" name="CaO" dataDxfId="449"/>
    <tableColumn id="13" xr3:uid="{3DCF00BA-AF0F-431C-A8F3-3A5ACE642870}" name="MgO" dataDxfId="448"/>
    <tableColumn id="14" xr3:uid="{FEC9D69C-4272-4F48-B996-84E349B784B5}" name="S" dataDxfId="447"/>
    <tableColumn id="15" xr3:uid="{AF12D31C-B354-4E35-B375-CCBC12C91681}" name="B" dataDxfId="446"/>
    <tableColumn id="16" xr3:uid="{B5AB63F9-E057-46BF-B4C3-A4B7D50E6C67}" name="Co" dataDxfId="445"/>
    <tableColumn id="17" xr3:uid="{C22D44D6-4D2F-443E-95EA-E4C35AF9D0F5}" name="Cu" dataDxfId="444"/>
    <tableColumn id="18" xr3:uid="{E1CD8312-1197-4907-ACC3-C9DF81553659}" name="Fe" dataDxfId="443"/>
    <tableColumn id="19" xr3:uid="{791AE78D-A39D-4D95-9D12-D9229FC0B570}" name="Mn" dataDxfId="442"/>
    <tableColumn id="20" xr3:uid="{9CEEDB48-410B-41E4-B1E7-6F458C131DD8}" name="Mo" dataDxfId="441"/>
    <tableColumn id="21" xr3:uid="{86628677-4DD4-4BFE-AC69-44A674838B0C}" name="SiO2" dataDxfId="440"/>
    <tableColumn id="22" xr3:uid="{0913A4E6-0878-4B97-AC78-147E7771FCE6}" name="Zn" dataDxfId="439"/>
    <tableColumn id="23" xr3:uid="{2D6F6651-2C93-4802-9223-78CBE4771430}" name="Na" dataDxfId="43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8C547D-F86F-4FDE-A537-755EA58B45CE}" name="Tabla5" displayName="Tabla5" ref="A1:Z3000" totalsRowShown="0" headerRowDxfId="431" headerRowBorderDxfId="430" tableBorderDxfId="429">
  <autoFilter ref="A1:Z3000" xr:uid="{828C547D-F86F-4FDE-A537-755EA58B45CE}"/>
  <sortState xmlns:xlrd2="http://schemas.microsoft.com/office/spreadsheetml/2017/richdata2" ref="A2:Z3000">
    <sortCondition ref="A1:A3000"/>
  </sortState>
  <tableColumns count="26">
    <tableColumn id="1" xr3:uid="{D5AA2CEA-6166-4BEB-92A5-52D2C4A3720B}" name="OP"/>
    <tableColumn id="2" xr3:uid="{3A884814-8635-4811-8E04-A1D991DF090B}" name="FECHA"/>
    <tableColumn id="3" xr3:uid="{7633F12F-04FE-4BB6-9F91-F0D5E48C82D5}" name="CODIGO"/>
    <tableColumn id="4" xr3:uid="{C45C1D7F-BED9-475B-A486-75E1A8C742FC}" name="PRODUCTO"/>
    <tableColumn id="5" xr3:uid="{C72A590E-AE98-4268-91B6-FCAAA9142013}" name="LOTE"/>
    <tableColumn id="6" xr3:uid="{F70F7048-E1CE-46CD-B53F-CA774480A6B4}" name="RESULTADO"/>
    <tableColumn id="7" xr3:uid="{5075D29B-623D-47B4-BA13-00557EB679C7}" name="C"/>
    <tableColumn id="8" xr3:uid="{467C10E9-C5A5-49BD-86B7-12BC3CC3A958}" name="N"/>
    <tableColumn id="9" xr3:uid="{FF80AA9C-BBF6-41BC-B019-43A1D88A1BE9}" name="N-NH4"/>
    <tableColumn id="10" xr3:uid="{CA18657C-F6B0-4D61-BB0B-13451D4239B4}" name="N-NO3"/>
    <tableColumn id="11" xr3:uid="{BA86DEB3-6D25-4061-A05D-567C8CA48470}" name="N-org"/>
    <tableColumn id="12" xr3:uid="{7FB2982E-5994-4559-8E57-4438D27CA465}" name="N-ur"/>
    <tableColumn id="13" xr3:uid="{962E242A-534B-4E4F-816D-47B87DCDD04C}" name="P"/>
    <tableColumn id="14" xr3:uid="{9AB8E186-8F59-4A04-8FEB-D2C196151DBD}" name="K"/>
    <tableColumn id="15" xr3:uid="{F592F5E8-7BAE-4BDD-AE62-6926E8F4B608}" name="CaO"/>
    <tableColumn id="16" xr3:uid="{2375D367-793F-4016-AA3F-D0A015CFFC5E}" name="MgO"/>
    <tableColumn id="17" xr3:uid="{B983866A-D1E8-4ABC-BC5E-4242E53C03CB}" name="S"/>
    <tableColumn id="18" xr3:uid="{9980446A-3BA8-4690-8DCA-443F73E517D1}" name="B"/>
    <tableColumn id="19" xr3:uid="{069F78E1-177B-41CE-8C66-C5B166A7FB53}" name="Co"/>
    <tableColumn id="20" xr3:uid="{05417ED1-1FF8-48A3-9C65-589C8754D172}" name="Cu"/>
    <tableColumn id="21" xr3:uid="{2B7C9C15-FFDB-49E8-A925-4B01D36553AD}" name="Fe"/>
    <tableColumn id="22" xr3:uid="{711F43EE-4DDE-447B-8DD8-504CA648E786}" name="Mn"/>
    <tableColumn id="23" xr3:uid="{30F7F23A-D66E-486B-AFFE-75F99491EE21}" name="Mo"/>
    <tableColumn id="24" xr3:uid="{046944F0-9A17-48E7-BE43-7099871A7787}" name="SiO2"/>
    <tableColumn id="25" xr3:uid="{C7E90D9E-1FE0-424E-B29A-4FFA1139E797}" name="Zn"/>
    <tableColumn id="26" xr3:uid="{83887556-F764-4D3F-AF25-5F27D5B0CE9E}" name="N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12C63-74E9-484A-BEC8-31A82248B89B}" name="Tabla2" displayName="Tabla2" ref="D14:AA23" totalsRowShown="0" headerRowDxfId="399" dataDxfId="397" headerRowBorderDxfId="398" tableBorderDxfId="396" totalsRowBorderDxfId="395" dataCellStyle="Porcentaje">
  <autoFilter ref="D14:AA23" xr:uid="{62A12C63-74E9-484A-BEC8-31A82248B89B}"/>
  <tableColumns count="24">
    <tableColumn id="4" xr3:uid="{B7602231-6E65-4538-9F7C-5D157CE62330}" name="CODIGO" dataDxfId="394"/>
    <tableColumn id="29" xr3:uid="{E6A2DA17-11A0-4158-8395-7190900EBBC0}" name="MATERIA PRIMA" dataDxfId="393"/>
    <tableColumn id="5" xr3:uid="{540449A6-1464-42B9-A27D-AAEC0EF88235}" name="CANTIDAD" dataDxfId="392">
      <calculatedColumnFormula>Tabla2[[#This Row],[MATERIA PRIMA]]</calculatedColumnFormula>
    </tableColumn>
    <tableColumn id="1" xr3:uid="{6C977F60-C772-438A-933A-C7C2EE89B02C}" name="Q" dataDxfId="391">
      <calculatedColumnFormula>Tabla2[[#This Row],[CANTIDAD]]/10</calculatedColumnFormula>
    </tableColumn>
    <tableColumn id="9" xr3:uid="{0713BF43-B61F-4CE4-BD3C-272CFEC80F22}" name="C" dataDxfId="390" dataCellStyle="Porcentaje"/>
    <tableColumn id="10" xr3:uid="{022D4959-9B4D-4A15-A690-B3527E26F24F}" name="N" dataDxfId="389" dataCellStyle="Porcentaje"/>
    <tableColumn id="11" xr3:uid="{8CA38D26-E6DE-4A52-84CD-3EF70BC7D163}" name="N-NH4" dataDxfId="388" dataCellStyle="Porcentaje"/>
    <tableColumn id="12" xr3:uid="{F51E6F4E-0FE4-4F8C-A380-128971E65679}" name="N-NO3" dataDxfId="387" dataCellStyle="Porcentaje"/>
    <tableColumn id="13" xr3:uid="{48E43279-2C2A-4DB0-9D54-29C93BC6F0BB}" name="N-org" dataDxfId="386" dataCellStyle="Porcentaje"/>
    <tableColumn id="14" xr3:uid="{D107125F-10BB-4406-A840-0AA9C446B60E}" name="N-ur" dataDxfId="385" dataCellStyle="Porcentaje"/>
    <tableColumn id="15" xr3:uid="{66340E0A-D209-4024-8ECC-CEFD73880F1F}" name="P" dataDxfId="384" dataCellStyle="Porcentaje"/>
    <tableColumn id="16" xr3:uid="{3BDCAC8B-1652-413A-9515-F5EF736CC2B4}" name="K" dataDxfId="383" dataCellStyle="Porcentaje"/>
    <tableColumn id="17" xr3:uid="{F9177BBE-6025-482E-AA84-56C79179E1A7}" name="CaO" dataDxfId="382" dataCellStyle="Porcentaje"/>
    <tableColumn id="18" xr3:uid="{BFDA338F-9C1A-42DD-A4ED-2D4A40619A57}" name="MgO" dataDxfId="381" dataCellStyle="Porcentaje"/>
    <tableColumn id="19" xr3:uid="{87F47866-B82D-439D-8963-39E140B6C9D1}" name="S" dataDxfId="380" dataCellStyle="Porcentaje"/>
    <tableColumn id="20" xr3:uid="{A70B0358-1580-4485-8CCA-79107C27C9B8}" name="B" dataDxfId="379" dataCellStyle="Porcentaje"/>
    <tableColumn id="21" xr3:uid="{E720F384-33FA-454E-B7CF-DBBF068817BD}" name="Co" dataDxfId="378" dataCellStyle="Porcentaje"/>
    <tableColumn id="22" xr3:uid="{FDB523D5-0DFC-4EB4-884A-2C25CA1BF4CC}" name="Cu" dataDxfId="377" dataCellStyle="Porcentaje"/>
    <tableColumn id="23" xr3:uid="{A93D6A76-240C-41F4-82D2-A0A36056CF2B}" name="Fe" dataDxfId="376" dataCellStyle="Porcentaje"/>
    <tableColumn id="24" xr3:uid="{D02B7709-A32F-4E7D-B93C-EF678E972482}" name="Mn" dataDxfId="375" dataCellStyle="Porcentaje"/>
    <tableColumn id="25" xr3:uid="{7AA161CC-9571-4C90-AA67-CA5384121248}" name="Mo" dataDxfId="374" dataCellStyle="Porcentaje"/>
    <tableColumn id="26" xr3:uid="{57A62632-149A-49E0-9BA1-D01932B680A0}" name="SiO2" dataDxfId="373" dataCellStyle="Porcentaje"/>
    <tableColumn id="27" xr3:uid="{E1038EC9-845A-461E-92B3-998C520E764D}" name="Zn" dataDxfId="372" dataCellStyle="Porcentaje"/>
    <tableColumn id="28" xr3:uid="{FA3B2F4F-5D8B-44E7-9C55-BA3609268084}" name="Na" dataDxfId="371" dataCellStyle="Porcentaj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701D0F-3C72-40ED-B918-61E9DEF0164F}" name="Tabla24" displayName="Tabla24" ref="B34:Y43" totalsRowShown="0">
  <autoFilter ref="B34:Y43" xr:uid="{99701D0F-3C72-40ED-B918-61E9DEF0164F}"/>
  <tableColumns count="24">
    <tableColumn id="4" xr3:uid="{D2EEF439-686E-40EB-9AAC-418554F60B76}" name="MATERIA PRIMA">
      <calculatedColumnFormula>IF(OR('Verificación de Formulación'!E15="",'Verificación de Formulación'!E15=0),"",'Verificación de Formulación'!E15)</calculatedColumnFormula>
    </tableColumn>
    <tableColumn id="29" xr3:uid="{EDC6014A-DDB1-4726-A4D9-58BFB45EF422}" name="CANTIDAD" dataDxfId="370">
      <calculatedColumnFormula>IF(OR('Verificación de Formulación'!F15="",'Verificación de Formulación'!F15=0),"",'Verificación de Formulación'!F15)</calculatedColumnFormula>
    </tableColumn>
    <tableColumn id="5" xr3:uid="{ED58A8AC-1FB8-4374-95BF-2AE9BFC90D07}" name="Q" dataDxfId="369">
      <calculatedColumnFormula>IF(OR('Verificación de Formulación'!G15="",'Verificación de Formulación'!G15=0),"",'Verificación de Formulación'!G15)</calculatedColumnFormula>
    </tableColumn>
    <tableColumn id="1" xr3:uid="{868FB4DE-DDC7-430F-9F86-30745902B4B8}" name="NPK" dataDxfId="368"/>
    <tableColumn id="9" xr3:uid="{4C59EAF4-5E91-4DF2-BDD6-76951563C8CB}" name="C" dataDxfId="367" dataCellStyle="Porcentaje">
      <calculatedColumnFormula>IF(OR('Verificación de Formulación'!H15="",'Verificación de Formulación'!H15=0),"",'Verificación de Formulación'!H15)</calculatedColumnFormula>
    </tableColumn>
    <tableColumn id="10" xr3:uid="{839A788F-5F29-41BB-9E22-21694476312D}" name="N" dataDxfId="366" dataCellStyle="Porcentaje">
      <calculatedColumnFormula>IF(OR('Verificación de Formulación'!I15="",'Verificación de Formulación'!I15=0),"",'Verificación de Formulación'!I15)</calculatedColumnFormula>
    </tableColumn>
    <tableColumn id="11" xr3:uid="{49A9323E-4768-405C-A3B5-DFA8A29F3275}" name="N-NH4" dataDxfId="365" dataCellStyle="Porcentaje">
      <calculatedColumnFormula>IF(OR('Verificación de Formulación'!J15="",'Verificación de Formulación'!J15=0),"",'Verificación de Formulación'!J15)</calculatedColumnFormula>
    </tableColumn>
    <tableColumn id="12" xr3:uid="{0FB1311E-1FD2-4E7A-892C-ADCCD40130C3}" name="N-NO3" dataDxfId="364" dataCellStyle="Porcentaje">
      <calculatedColumnFormula>IF(OR('Verificación de Formulación'!K15="",'Verificación de Formulación'!K15=0),"",'Verificación de Formulación'!K15)</calculatedColumnFormula>
    </tableColumn>
    <tableColumn id="13" xr3:uid="{C5D9270B-268F-49BC-89C0-3C98E25CC589}" name="N-org" dataDxfId="363" dataCellStyle="Porcentaje">
      <calculatedColumnFormula>IF(OR('Verificación de Formulación'!L15="",'Verificación de Formulación'!L15=0),"",'Verificación de Formulación'!L15)</calculatedColumnFormula>
    </tableColumn>
    <tableColumn id="14" xr3:uid="{4605C7B8-001B-4314-94FB-61D3369859FE}" name="N-ur" dataDxfId="362" dataCellStyle="Porcentaje">
      <calculatedColumnFormula>IF(OR('Verificación de Formulación'!M15="",'Verificación de Formulación'!M15=0),"",'Verificación de Formulación'!M15)</calculatedColumnFormula>
    </tableColumn>
    <tableColumn id="15" xr3:uid="{CAF871ED-87CE-4F9C-9380-8CA548DE7478}" name="P" dataDxfId="361" dataCellStyle="Porcentaje">
      <calculatedColumnFormula>IF(OR('Verificación de Formulación'!N15="",'Verificación de Formulación'!N15=0),"",'Verificación de Formulación'!N15)</calculatedColumnFormula>
    </tableColumn>
    <tableColumn id="16" xr3:uid="{EF0C7D9F-E677-41D9-AF7F-0368AC613531}" name="K" dataDxfId="360" dataCellStyle="Porcentaje">
      <calculatedColumnFormula>IF(OR('Verificación de Formulación'!O15="",'Verificación de Formulación'!O15=0),"",'Verificación de Formulación'!O15)</calculatedColumnFormula>
    </tableColumn>
    <tableColumn id="17" xr3:uid="{C6B031E2-219E-4055-AE0D-C606F8B825E1}" name="CaO" dataDxfId="359" dataCellStyle="Porcentaje">
      <calculatedColumnFormula>IF(OR('Verificación de Formulación'!P15="",'Verificación de Formulación'!P15=0),"",'Verificación de Formulación'!P15)</calculatedColumnFormula>
    </tableColumn>
    <tableColumn id="18" xr3:uid="{17FE04B1-5615-4B68-8806-0AE9CBF5272C}" name="MgO" dataDxfId="358" dataCellStyle="Porcentaje">
      <calculatedColumnFormula>IF(OR('Verificación de Formulación'!Q15="",'Verificación de Formulación'!Q15=0),"",'Verificación de Formulación'!Q15)</calculatedColumnFormula>
    </tableColumn>
    <tableColumn id="19" xr3:uid="{D165C8C3-E917-4B58-B808-BFAB09429F0F}" name="S" dataDxfId="357" dataCellStyle="Porcentaje">
      <calculatedColumnFormula>IF(OR('Verificación de Formulación'!R15="",'Verificación de Formulación'!R15=0),"",'Verificación de Formulación'!R15)</calculatedColumnFormula>
    </tableColumn>
    <tableColumn id="20" xr3:uid="{D63FE077-118D-44E9-814C-EA8E0FDC6390}" name="B" dataDxfId="356" dataCellStyle="Porcentaje">
      <calculatedColumnFormula>IF(OR('Verificación de Formulación'!S15="",'Verificación de Formulación'!S15=0),"",'Verificación de Formulación'!S15)</calculatedColumnFormula>
    </tableColumn>
    <tableColumn id="21" xr3:uid="{F0AC49B3-D200-46F7-9866-90FFB035C1C0}" name="Co" dataDxfId="355" dataCellStyle="Porcentaje">
      <calculatedColumnFormula>IF(OR('Verificación de Formulación'!T15="",'Verificación de Formulación'!T15=0),"",'Verificación de Formulación'!T15)</calculatedColumnFormula>
    </tableColumn>
    <tableColumn id="22" xr3:uid="{609A9AB9-B288-4D3D-ADA5-CBB72173EC09}" name="Cu" dataDxfId="354" dataCellStyle="Porcentaje">
      <calculatedColumnFormula>IF(OR('Verificación de Formulación'!U15="",'Verificación de Formulación'!U15=0),"",'Verificación de Formulación'!U15)</calculatedColumnFormula>
    </tableColumn>
    <tableColumn id="23" xr3:uid="{C18D3986-CFAE-4AA3-B9C0-7D058391F63B}" name="Fe" dataDxfId="353" dataCellStyle="Porcentaje">
      <calculatedColumnFormula>IF(OR('Verificación de Formulación'!V15="",'Verificación de Formulación'!V15=0),"",'Verificación de Formulación'!V15)</calculatedColumnFormula>
    </tableColumn>
    <tableColumn id="24" xr3:uid="{BACFB262-B5A4-421A-AF0A-5B4EA891CF0B}" name="Mn" dataDxfId="352" dataCellStyle="Porcentaje">
      <calculatedColumnFormula>IF(OR('Verificación de Formulación'!W15="",'Verificación de Formulación'!W15=0),"",'Verificación de Formulación'!W15)</calculatedColumnFormula>
    </tableColumn>
    <tableColumn id="25" xr3:uid="{4D16BF49-B6FD-41ED-8482-655D4CD03161}" name="Mo" dataDxfId="351" dataCellStyle="Porcentaje">
      <calculatedColumnFormula>IF(OR('Verificación de Formulación'!X15="",'Verificación de Formulación'!X15=0),"",'Verificación de Formulación'!X15)</calculatedColumnFormula>
    </tableColumn>
    <tableColumn id="26" xr3:uid="{DD6FFE31-36A1-4225-81FF-AF917F9DB2E8}" name="SiO2" dataDxfId="350" dataCellStyle="Porcentaje">
      <calculatedColumnFormula>IF(OR('Verificación de Formulación'!Y15="",'Verificación de Formulación'!Y15=0),"",'Verificación de Formulación'!Y15)</calculatedColumnFormula>
    </tableColumn>
    <tableColumn id="27" xr3:uid="{0C9E7490-88F0-4C0D-BC80-D50B2082423D}" name="Zn" dataDxfId="349" dataCellStyle="Porcentaje">
      <calculatedColumnFormula>IF(OR('Verificación de Formulación'!Z15="",'Verificación de Formulación'!Z15=0),"",'Verificación de Formulación'!Z15)</calculatedColumnFormula>
    </tableColumn>
    <tableColumn id="28" xr3:uid="{E8C986DD-B89B-4757-9EBD-F78F1FAE83CE}" name="Na" dataDxfId="348" dataCellStyle="Porcentaje">
      <calculatedColumnFormula>IF(OR('Verificación de Formulación'!AA15="",'Verificación de Formulación'!AA15=0),"",'Verificación de Formulación'!AA15)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70"/>
  <sheetViews>
    <sheetView zoomScale="130" zoomScaleNormal="130" workbookViewId="0">
      <selection activeCell="B71" sqref="B71"/>
    </sheetView>
  </sheetViews>
  <sheetFormatPr baseColWidth="10" defaultColWidth="9.140625" defaultRowHeight="15" x14ac:dyDescent="0.25"/>
  <cols>
    <col min="1" max="1" width="20.28515625" customWidth="1"/>
    <col min="2" max="2" width="20.140625" bestFit="1" customWidth="1"/>
    <col min="3" max="3" width="8.7109375" bestFit="1" customWidth="1"/>
    <col min="4" max="4" width="42" bestFit="1" customWidth="1"/>
    <col min="5" max="5" width="4.85546875" bestFit="1" customWidth="1"/>
    <col min="6" max="6" width="7.28515625" bestFit="1" customWidth="1"/>
    <col min="7" max="7" width="7.5703125" bestFit="1" customWidth="1"/>
    <col min="8" max="8" width="12.85546875" bestFit="1" customWidth="1"/>
    <col min="9" max="9" width="13" bestFit="1" customWidth="1"/>
    <col min="10" max="10" width="11.85546875" bestFit="1" customWidth="1"/>
    <col min="11" max="11" width="10.7109375" bestFit="1" customWidth="1"/>
    <col min="12" max="12" width="7.140625" bestFit="1" customWidth="1"/>
    <col min="13" max="13" width="7.28515625" bestFit="1" customWidth="1"/>
    <col min="14" max="14" width="10.28515625" bestFit="1" customWidth="1"/>
    <col min="15" max="15" width="10.85546875" bestFit="1" customWidth="1"/>
    <col min="16" max="16" width="7.5703125" bestFit="1" customWidth="1"/>
    <col min="17" max="17" width="7.28515625" bestFit="1" customWidth="1"/>
    <col min="18" max="18" width="8.5703125" bestFit="1" customWidth="1"/>
    <col min="19" max="19" width="8.7109375" bestFit="1" customWidth="1"/>
    <col min="20" max="20" width="8.28515625" bestFit="1" customWidth="1"/>
    <col min="21" max="21" width="9.28515625" bestFit="1" customWidth="1"/>
    <col min="23" max="23" width="10.7109375" bestFit="1" customWidth="1"/>
    <col min="24" max="24" width="8.5703125" bestFit="1" customWidth="1"/>
    <col min="25" max="25" width="8.85546875" bestFit="1" customWidth="1"/>
  </cols>
  <sheetData>
    <row r="1" spans="1:25" ht="20.25" thickBot="1" x14ac:dyDescent="0.3">
      <c r="A1" s="2" t="s">
        <v>0</v>
      </c>
      <c r="B1" s="2" t="s">
        <v>1</v>
      </c>
      <c r="C1" s="2" t="s">
        <v>2</v>
      </c>
      <c r="D1" s="2" t="s">
        <v>38</v>
      </c>
      <c r="E1" s="2" t="s">
        <v>72</v>
      </c>
      <c r="F1" s="3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5" t="s">
        <v>22</v>
      </c>
    </row>
    <row r="2" spans="1:25" x14ac:dyDescent="0.25">
      <c r="A2" s="1" t="s">
        <v>43</v>
      </c>
      <c r="B2" s="1" t="s">
        <v>44</v>
      </c>
      <c r="C2" s="1" t="s">
        <v>9</v>
      </c>
      <c r="D2" s="1" t="str">
        <f>IF(Tabla1[[#This Row],[MATERIA PRIMA]]="","",_xlfn.CONCAT(Tabla1[[#This Row],[MATERIA PRIMA]],"_",Tabla1[[#This Row],[PROVEEDOR]],"_",Tabla1[[#This Row],[TIPO]]))</f>
        <v>BENTONITA GRIS_DIDIER HOYOS_P</v>
      </c>
      <c r="E2" s="1" t="str">
        <f>IF(Tabla1[[#This Row],[MATERIA PRIMA]]="","",IF(SUM(Tabla1[[#This Row],[C]:[Na]])&gt;0,"OK","P"))</f>
        <v>OK</v>
      </c>
      <c r="F2" s="13"/>
      <c r="G2" s="13"/>
      <c r="H2" s="13"/>
      <c r="I2" s="13"/>
      <c r="J2" s="13"/>
      <c r="K2" s="13"/>
      <c r="L2" s="13"/>
      <c r="M2" s="13">
        <v>2.4E-2</v>
      </c>
      <c r="N2" s="13">
        <v>6.2E-2</v>
      </c>
      <c r="O2" s="13">
        <v>0.04</v>
      </c>
      <c r="P2" s="13"/>
      <c r="Q2" s="13"/>
      <c r="R2" s="13"/>
      <c r="S2" s="13"/>
      <c r="T2" s="13"/>
      <c r="U2" s="13"/>
      <c r="V2" s="13"/>
      <c r="W2" s="13">
        <v>0.56899999999999995</v>
      </c>
      <c r="X2" s="13"/>
      <c r="Y2" s="13"/>
    </row>
    <row r="3" spans="1:25" x14ac:dyDescent="0.25">
      <c r="A3" s="1" t="s">
        <v>43</v>
      </c>
      <c r="B3" s="1" t="s">
        <v>76</v>
      </c>
      <c r="C3" s="1" t="s">
        <v>9</v>
      </c>
      <c r="D3" s="1" t="str">
        <f>IF(Tabla1[[#This Row],[MATERIA PRIMA]]="","",_xlfn.CONCAT(Tabla1[[#This Row],[MATERIA PRIMA]],"_",Tabla1[[#This Row],[PROVEEDOR]],"_",Tabla1[[#This Row],[TIPO]]))</f>
        <v>BENTONITA GRIS_HENRY CORONADO_P</v>
      </c>
      <c r="E3" s="1" t="str">
        <f>IF(Tabla1[[#This Row],[MATERIA PRIMA]]="","",IF(SUM(Tabla1[[#This Row],[C]:[Na]])&gt;0,"OK","P"))</f>
        <v>OK</v>
      </c>
      <c r="F3" s="13"/>
      <c r="G3" s="13"/>
      <c r="H3" s="13"/>
      <c r="I3" s="13"/>
      <c r="J3" s="13"/>
      <c r="K3" s="13"/>
      <c r="L3" s="13"/>
      <c r="M3" s="13"/>
      <c r="N3" s="13">
        <v>6.2E-2</v>
      </c>
      <c r="O3" s="13">
        <v>0.04</v>
      </c>
      <c r="P3" s="13"/>
      <c r="Q3" s="13"/>
      <c r="R3" s="13"/>
      <c r="S3" s="13"/>
      <c r="T3" s="13"/>
      <c r="U3" s="13"/>
      <c r="V3" s="13"/>
      <c r="W3" s="13">
        <v>0.56899999999999995</v>
      </c>
      <c r="X3" s="13"/>
      <c r="Y3" s="13"/>
    </row>
    <row r="4" spans="1:25" x14ac:dyDescent="0.25">
      <c r="A4" s="1" t="s">
        <v>43</v>
      </c>
      <c r="B4" s="1" t="s">
        <v>84</v>
      </c>
      <c r="C4" s="1" t="s">
        <v>9</v>
      </c>
      <c r="D4" s="1" t="str">
        <f>IF(Tabla1[[#This Row],[MATERIA PRIMA]]="","",_xlfn.CONCAT(Tabla1[[#This Row],[MATERIA PRIMA]],"_",Tabla1[[#This Row],[PROVEEDOR]],"_",Tabla1[[#This Row],[TIPO]]))</f>
        <v>BENTONITA GRIS_FERTICAUCA_P</v>
      </c>
      <c r="E4" s="1" t="str">
        <f>IF(Tabla1[[#This Row],[MATERIA PRIMA]]="","",IF(SUM(Tabla1[[#This Row],[C]:[Na]])&gt;0,"OK","P"))</f>
        <v>OK</v>
      </c>
      <c r="F4" s="14"/>
      <c r="G4" s="14"/>
      <c r="H4" s="14"/>
      <c r="I4" s="14"/>
      <c r="J4" s="14"/>
      <c r="K4" s="14"/>
      <c r="L4" s="14"/>
      <c r="M4" s="13">
        <v>2.4E-2</v>
      </c>
      <c r="N4" s="13">
        <v>6.2E-2</v>
      </c>
      <c r="O4" s="13">
        <v>0.04</v>
      </c>
      <c r="P4" s="13"/>
      <c r="Q4" s="13"/>
      <c r="R4" s="13"/>
      <c r="S4" s="13"/>
      <c r="T4" s="13"/>
      <c r="U4" s="13"/>
      <c r="V4" s="13"/>
      <c r="W4" s="13">
        <v>0.56899999999999995</v>
      </c>
      <c r="X4" s="14"/>
      <c r="Y4" s="14"/>
    </row>
    <row r="5" spans="1:25" x14ac:dyDescent="0.25">
      <c r="A5" s="1" t="s">
        <v>43</v>
      </c>
      <c r="B5" s="1" t="s">
        <v>176</v>
      </c>
      <c r="C5" s="1" t="s">
        <v>9</v>
      </c>
      <c r="D5" s="17" t="str">
        <f>IF(Tabla1[[#This Row],[MATERIA PRIMA]]="","",_xlfn.CONCAT(Tabla1[[#This Row],[MATERIA PRIMA]],"_",Tabla1[[#This Row],[PROVEEDOR]],"_",Tabla1[[#This Row],[TIPO]]))</f>
        <v>BENTONITA GRIS_COMERCIALIZADORA HA_P</v>
      </c>
      <c r="E5" s="17" t="str">
        <f>IF(Tabla1[[#This Row],[MATERIA PRIMA]]="","",IF(SUM(Tabla1[[#This Row],[C]:[Na]])&gt;0,"OK","P"))</f>
        <v>OK</v>
      </c>
      <c r="F5" s="14"/>
      <c r="G5" s="14"/>
      <c r="H5" s="14"/>
      <c r="I5" s="14"/>
      <c r="J5" s="14"/>
      <c r="K5" s="14"/>
      <c r="L5" s="14"/>
      <c r="M5" s="13">
        <v>2.4E-2</v>
      </c>
      <c r="N5" s="13">
        <v>6.2E-2</v>
      </c>
      <c r="O5" s="13">
        <v>0.04</v>
      </c>
      <c r="P5" s="13"/>
      <c r="Q5" s="13"/>
      <c r="R5" s="13"/>
      <c r="S5" s="13"/>
      <c r="T5" s="13"/>
      <c r="U5" s="13"/>
      <c r="V5" s="13"/>
      <c r="W5" s="13">
        <v>0.56899999999999995</v>
      </c>
      <c r="X5" s="14"/>
      <c r="Y5" s="14"/>
    </row>
    <row r="6" spans="1:25" x14ac:dyDescent="0.25">
      <c r="A6" s="1" t="s">
        <v>59</v>
      </c>
      <c r="B6" s="1" t="s">
        <v>60</v>
      </c>
      <c r="C6" s="1" t="s">
        <v>9</v>
      </c>
      <c r="D6" s="1" t="str">
        <f>IF(Tabla1[[#This Row],[MATERIA PRIMA]]="","",_xlfn.CONCAT(Tabla1[[#This Row],[MATERIA PRIMA]],"_",Tabla1[[#This Row],[PROVEEDOR]],"_",Tabla1[[#This Row],[TIPO]]))</f>
        <v>BENTONITA ROJA_MINERALES_P</v>
      </c>
      <c r="E6" s="1" t="str">
        <f>IF(Tabla1[[#This Row],[MATERIA PRIMA]]="","",IF(SUM(Tabla1[[#This Row],[C]:[Na]])&gt;0,"OK","P"))</f>
        <v>OK</v>
      </c>
      <c r="F6" s="13"/>
      <c r="G6" s="13"/>
      <c r="H6" s="13"/>
      <c r="I6" s="13"/>
      <c r="J6" s="13"/>
      <c r="K6" s="13"/>
      <c r="L6" s="13"/>
      <c r="M6" s="13"/>
      <c r="N6" s="13"/>
      <c r="O6" s="13">
        <v>6.0000000000000001E-3</v>
      </c>
      <c r="P6" s="13"/>
      <c r="Q6" s="13"/>
      <c r="R6" s="13"/>
      <c r="S6" s="13"/>
      <c r="T6" s="13"/>
      <c r="U6" s="13"/>
      <c r="V6" s="13"/>
      <c r="W6" s="13">
        <v>0.47</v>
      </c>
      <c r="X6" s="13"/>
      <c r="Y6" s="13"/>
    </row>
    <row r="7" spans="1:25" x14ac:dyDescent="0.25">
      <c r="A7" s="1" t="s">
        <v>59</v>
      </c>
      <c r="B7" s="1" t="s">
        <v>66</v>
      </c>
      <c r="C7" s="1" t="s">
        <v>9</v>
      </c>
      <c r="D7" s="1" t="str">
        <f>IF(Tabla1[[#This Row],[MATERIA PRIMA]]="","",_xlfn.CONCAT(Tabla1[[#This Row],[MATERIA PRIMA]],"_",Tabla1[[#This Row],[PROVEEDOR]],"_",Tabla1[[#This Row],[TIPO]]))</f>
        <v>BENTONITA ROJA_HYM_P</v>
      </c>
      <c r="E7" s="1" t="str">
        <f>IF(Tabla1[[#This Row],[MATERIA PRIMA]]="","",IF(SUM(Tabla1[[#This Row],[C]:[Na]])&gt;0,"OK","P"))</f>
        <v>OK</v>
      </c>
      <c r="F7" s="13"/>
      <c r="G7" s="13"/>
      <c r="H7" s="13"/>
      <c r="I7" s="13"/>
      <c r="J7" s="13"/>
      <c r="K7" s="13"/>
      <c r="L7" s="13"/>
      <c r="M7" s="13"/>
      <c r="N7" s="13"/>
      <c r="O7" s="13">
        <v>6.0000000000000001E-3</v>
      </c>
      <c r="P7" s="13"/>
      <c r="Q7" s="13"/>
      <c r="R7" s="13"/>
      <c r="S7" s="13"/>
      <c r="T7" s="13"/>
      <c r="U7" s="13"/>
      <c r="V7" s="13"/>
      <c r="W7" s="13">
        <v>0.47</v>
      </c>
      <c r="X7" s="13"/>
      <c r="Y7" s="13"/>
    </row>
    <row r="8" spans="1:25" x14ac:dyDescent="0.25">
      <c r="A8" s="1" t="s">
        <v>71</v>
      </c>
      <c r="B8" s="1" t="s">
        <v>53</v>
      </c>
      <c r="C8" s="1" t="s">
        <v>36</v>
      </c>
      <c r="D8" s="1" t="str">
        <f>IF(Tabla1[[#This Row],[MATERIA PRIMA]]="","",_xlfn.CONCAT(Tabla1[[#This Row],[MATERIA PRIMA]],"_",Tabla1[[#This Row],[PROVEEDOR]],"_",Tabla1[[#This Row],[TIPO]]))</f>
        <v>BORO G_CALFERQUIM_G</v>
      </c>
      <c r="E8" s="1" t="str">
        <f>IF(Tabla1[[#This Row],[MATERIA PRIMA]]="","",IF(SUM(Tabla1[[#This Row],[C]:[Na]])&gt;0,"OK","P"))</f>
        <v>OK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>
        <v>0.1</v>
      </c>
      <c r="R8" s="13"/>
      <c r="S8" s="13"/>
      <c r="T8" s="13"/>
      <c r="U8" s="13"/>
      <c r="V8" s="13"/>
      <c r="W8" s="13"/>
      <c r="X8" s="13"/>
      <c r="Y8" s="13"/>
    </row>
    <row r="9" spans="1:25" x14ac:dyDescent="0.25">
      <c r="A9" s="1" t="s">
        <v>28</v>
      </c>
      <c r="B9" s="1" t="s">
        <v>29</v>
      </c>
      <c r="C9" s="1" t="s">
        <v>9</v>
      </c>
      <c r="D9" s="1" t="str">
        <f>IF(Tabla1[[#This Row],[MATERIA PRIMA]]="","",_xlfn.CONCAT(Tabla1[[#This Row],[MATERIA PRIMA]],"_",Tabla1[[#This Row],[PROVEEDOR]],"_",Tabla1[[#This Row],[TIPO]]))</f>
        <v>CAL DOLOMITA_BM_P</v>
      </c>
      <c r="E9" s="1" t="str">
        <f>IF(Tabla1[[#This Row],[MATERIA PRIMA]]="","",IF(SUM(Tabla1[[#This Row],[C]:[Na]])&gt;0,"OK","P"))</f>
        <v>OK</v>
      </c>
      <c r="F9" s="13"/>
      <c r="G9" s="13"/>
      <c r="H9" s="13"/>
      <c r="I9" s="13"/>
      <c r="J9" s="13"/>
      <c r="K9" s="13"/>
      <c r="L9" s="13"/>
      <c r="M9" s="13"/>
      <c r="N9" s="13">
        <v>0.34</v>
      </c>
      <c r="O9" s="13">
        <v>0.14000000000000001</v>
      </c>
      <c r="P9" s="13"/>
      <c r="Q9" s="13"/>
      <c r="R9" s="13"/>
      <c r="S9" s="13"/>
      <c r="T9" s="13"/>
      <c r="U9" s="13"/>
      <c r="V9" s="13"/>
      <c r="W9" s="13"/>
      <c r="X9" s="13"/>
      <c r="Y9" s="13"/>
    </row>
    <row r="10" spans="1:25" x14ac:dyDescent="0.25">
      <c r="A10" s="1" t="s">
        <v>82</v>
      </c>
      <c r="B10" s="1" t="s">
        <v>53</v>
      </c>
      <c r="C10" s="1" t="s">
        <v>36</v>
      </c>
      <c r="D10" s="1" t="str">
        <f>IF(Tabla1[[#This Row],[MATERIA PRIMA]]="","",_xlfn.CONCAT(Tabla1[[#This Row],[MATERIA PRIMA]],"_",Tabla1[[#This Row],[PROVEEDOR]],"_",Tabla1[[#This Row],[TIPO]]))</f>
        <v>CALFERZINC P_CALFERQUIM_G</v>
      </c>
      <c r="E10" s="1" t="str">
        <f>IF(Tabla1[[#This Row],[MATERIA PRIMA]]="","",IF(SUM(Tabla1[[#This Row],[C]:[Na]])&gt;0,"OK","P"))</f>
        <v>OK</v>
      </c>
      <c r="F10" s="14"/>
      <c r="G10" s="14"/>
      <c r="H10" s="14"/>
      <c r="I10" s="14"/>
      <c r="J10" s="14"/>
      <c r="K10" s="14"/>
      <c r="L10" s="14"/>
      <c r="M10" s="16">
        <v>0.03</v>
      </c>
      <c r="N10" s="14"/>
      <c r="O10" s="14"/>
      <c r="P10" s="16">
        <v>7.0000000000000007E-2</v>
      </c>
      <c r="Q10" s="14"/>
      <c r="R10" s="14"/>
      <c r="S10" s="14"/>
      <c r="T10" s="14"/>
      <c r="U10" s="14"/>
      <c r="V10" s="14"/>
      <c r="W10" s="14"/>
      <c r="X10" s="16">
        <v>0.21</v>
      </c>
      <c r="Y10" s="14"/>
    </row>
    <row r="11" spans="1:25" x14ac:dyDescent="0.25">
      <c r="A11" s="1" t="s">
        <v>32</v>
      </c>
      <c r="B11" s="1" t="s">
        <v>33</v>
      </c>
      <c r="C11" s="1" t="s">
        <v>9</v>
      </c>
      <c r="D11" s="1" t="str">
        <f>IF(Tabla1[[#This Row],[MATERIA PRIMA]]="","",_xlfn.CONCAT(Tabla1[[#This Row],[MATERIA PRIMA]],"_",Tabla1[[#This Row],[PROVEEDOR]],"_",Tabla1[[#This Row],[TIPO]]))</f>
        <v>CARBONATO CALCIO_AGROCALES_P</v>
      </c>
      <c r="E11" s="1" t="str">
        <f>IF(Tabla1[[#This Row],[MATERIA PRIMA]]="","",IF(SUM(Tabla1[[#This Row],[C]:[Na]])&gt;0,"OK","P"))</f>
        <v>OK</v>
      </c>
      <c r="F11" s="13"/>
      <c r="G11" s="13"/>
      <c r="H11" s="13"/>
      <c r="I11" s="13"/>
      <c r="J11" s="13"/>
      <c r="K11" s="13"/>
      <c r="L11" s="13"/>
      <c r="M11" s="13"/>
      <c r="N11" s="13">
        <v>0.44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</row>
    <row r="12" spans="1:25" x14ac:dyDescent="0.25">
      <c r="A12" s="1" t="s">
        <v>32</v>
      </c>
      <c r="B12" s="1" t="s">
        <v>65</v>
      </c>
      <c r="C12" s="1" t="s">
        <v>9</v>
      </c>
      <c r="D12" s="1" t="str">
        <f>IF(Tabla1[[#This Row],[MATERIA PRIMA]]="","",_xlfn.CONCAT(Tabla1[[#This Row],[MATERIA PRIMA]],"_",Tabla1[[#This Row],[PROVEEDOR]],"_",Tabla1[[#This Row],[TIPO]]))</f>
        <v>CARBONATO CALCIO_HELVECIA_P</v>
      </c>
      <c r="E12" s="1" t="str">
        <f>IF(Tabla1[[#This Row],[MATERIA PRIMA]]="","",IF(SUM(Tabla1[[#This Row],[C]:[Na]])&gt;0,"OK","P"))</f>
        <v>OK</v>
      </c>
      <c r="F12" s="13"/>
      <c r="G12" s="13"/>
      <c r="H12" s="13"/>
      <c r="I12" s="13"/>
      <c r="J12" s="13"/>
      <c r="K12" s="13"/>
      <c r="L12" s="13"/>
      <c r="M12" s="13"/>
      <c r="N12" s="13">
        <v>0.44</v>
      </c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</row>
    <row r="13" spans="1:25" x14ac:dyDescent="0.25">
      <c r="A13" s="1" t="s">
        <v>32</v>
      </c>
      <c r="B13" s="1" t="s">
        <v>116</v>
      </c>
      <c r="C13" s="1" t="s">
        <v>9</v>
      </c>
      <c r="D13" s="17" t="str">
        <f>IF(Tabla1[[#This Row],[MATERIA PRIMA]]="","",_xlfn.CONCAT(Tabla1[[#This Row],[MATERIA PRIMA]],"_",Tabla1[[#This Row],[PROVEEDOR]],"_",Tabla1[[#This Row],[TIPO]]))</f>
        <v>CARBONATO CALCIO_JAMAROL_P</v>
      </c>
      <c r="E13" s="17" t="str">
        <f>IF(Tabla1[[#This Row],[MATERIA PRIMA]]="","",IF(SUM(Tabla1[[#This Row],[C]:[Na]])&gt;0,"OK","P"))</f>
        <v>OK</v>
      </c>
      <c r="F13" s="13"/>
      <c r="G13" s="13"/>
      <c r="H13" s="13"/>
      <c r="I13" s="13"/>
      <c r="J13" s="13"/>
      <c r="K13" s="13"/>
      <c r="L13" s="13"/>
      <c r="M13" s="13"/>
      <c r="N13" s="13">
        <v>0.44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</row>
    <row r="14" spans="1:25" x14ac:dyDescent="0.25">
      <c r="A14" s="1" t="s">
        <v>80</v>
      </c>
      <c r="B14" s="1" t="s">
        <v>53</v>
      </c>
      <c r="C14" s="1" t="s">
        <v>81</v>
      </c>
      <c r="D14" s="1" t="str">
        <f>IF(Tabla1[[#This Row],[MATERIA PRIMA]]="","",_xlfn.CONCAT(Tabla1[[#This Row],[MATERIA PRIMA]],"_",Tabla1[[#This Row],[PROVEEDOR]],"_",Tabla1[[#This Row],[TIPO]]))</f>
        <v>CARBONITRO_CALFERQUIM_L</v>
      </c>
      <c r="E14" s="1" t="str">
        <f>IF(Tabla1[[#This Row],[MATERIA PRIMA]]="","",IF(SUM(Tabla1[[#This Row],[C]:[Na]])&gt;0,"OK","P"))</f>
        <v>P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5" x14ac:dyDescent="0.25">
      <c r="A15" s="1" t="s">
        <v>51</v>
      </c>
      <c r="B15" s="1" t="s">
        <v>48</v>
      </c>
      <c r="C15" s="1" t="s">
        <v>36</v>
      </c>
      <c r="D15" s="1" t="str">
        <f>IF(Tabla1[[#This Row],[MATERIA PRIMA]]="","",_xlfn.CONCAT(Tabla1[[#This Row],[MATERIA PRIMA]],"_",Tabla1[[#This Row],[PROVEEDOR]],"_",Tabla1[[#This Row],[TIPO]]))</f>
        <v>DAP_NUTRICION PLANTAS_G</v>
      </c>
      <c r="E15" s="1" t="str">
        <f>IF(Tabla1[[#This Row],[MATERIA PRIMA]]="","",IF(SUM(Tabla1[[#This Row],[C]:[Na]])&gt;0,"OK","P"))</f>
        <v>OK</v>
      </c>
      <c r="F15" s="13"/>
      <c r="G15" s="13">
        <v>0.18</v>
      </c>
      <c r="H15" s="13">
        <v>0.18</v>
      </c>
      <c r="I15" s="13"/>
      <c r="J15" s="13"/>
      <c r="K15" s="13"/>
      <c r="L15" s="13">
        <v>0.46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5" x14ac:dyDescent="0.25">
      <c r="A16" s="1" t="s">
        <v>51</v>
      </c>
      <c r="B16" s="1" t="s">
        <v>53</v>
      </c>
      <c r="C16" s="1" t="s">
        <v>36</v>
      </c>
      <c r="D16" s="1" t="str">
        <f>IF(Tabla1[[#This Row],[MATERIA PRIMA]]="","",_xlfn.CONCAT(Tabla1[[#This Row],[MATERIA PRIMA]],"_",Tabla1[[#This Row],[PROVEEDOR]],"_",Tabla1[[#This Row],[TIPO]]))</f>
        <v>DAP_CALFERQUIM_G</v>
      </c>
      <c r="E16" s="1" t="str">
        <f>IF(Tabla1[[#This Row],[MATERIA PRIMA]]="","",IF(SUM(Tabla1[[#This Row],[C]:[Na]])&gt;0,"OK","P"))</f>
        <v>OK</v>
      </c>
      <c r="F16" s="13"/>
      <c r="G16" s="13">
        <v>0.18</v>
      </c>
      <c r="H16" s="13">
        <v>0.18</v>
      </c>
      <c r="I16" s="13"/>
      <c r="J16" s="13"/>
      <c r="K16" s="13"/>
      <c r="L16" s="13">
        <v>0.46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25">
      <c r="A17" s="1" t="s">
        <v>51</v>
      </c>
      <c r="B17" s="1" t="s">
        <v>62</v>
      </c>
      <c r="C17" s="1" t="s">
        <v>36</v>
      </c>
      <c r="D17" s="1" t="str">
        <f>IF(Tabla1[[#This Row],[MATERIA PRIMA]]="","",_xlfn.CONCAT(Tabla1[[#This Row],[MATERIA PRIMA]],"_",Tabla1[[#This Row],[PROVEEDOR]],"_",Tabla1[[#This Row],[TIPO]]))</f>
        <v>DAP_DISAN_G</v>
      </c>
      <c r="E17" s="1" t="str">
        <f>IF(Tabla1[[#This Row],[MATERIA PRIMA]]="","",IF(SUM(Tabla1[[#This Row],[C]:[Na]])&gt;0,"OK","P"))</f>
        <v>OK</v>
      </c>
      <c r="F17" s="13"/>
      <c r="G17" s="13">
        <v>0.18</v>
      </c>
      <c r="H17" s="13">
        <v>0.18</v>
      </c>
      <c r="I17" s="13"/>
      <c r="J17" s="13"/>
      <c r="K17" s="13"/>
      <c r="L17" s="13">
        <v>0.46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25">
      <c r="A18" s="1" t="s">
        <v>51</v>
      </c>
      <c r="B18" s="1" t="s">
        <v>86</v>
      </c>
      <c r="C18" s="1" t="s">
        <v>36</v>
      </c>
      <c r="D18" s="1" t="str">
        <f>IF(Tabla1[[#This Row],[MATERIA PRIMA]]="","",_xlfn.CONCAT(Tabla1[[#This Row],[MATERIA PRIMA]],"_",Tabla1[[#This Row],[PROVEEDOR]],"_",Tabla1[[#This Row],[TIPO]]))</f>
        <v>DAP_CIAMSA_G</v>
      </c>
      <c r="E18" s="1" t="str">
        <f>IF(Tabla1[[#This Row],[MATERIA PRIMA]]="","",IF(SUM(Tabla1[[#This Row],[C]:[Na]])&gt;0,"OK","P"))</f>
        <v>OK</v>
      </c>
      <c r="F18" s="14"/>
      <c r="G18" s="13">
        <v>0.18</v>
      </c>
      <c r="H18" s="13">
        <v>0.18</v>
      </c>
      <c r="I18" s="13"/>
      <c r="J18" s="13"/>
      <c r="K18" s="13"/>
      <c r="L18" s="13">
        <v>0.46</v>
      </c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5">
      <c r="A19" s="1" t="s">
        <v>51</v>
      </c>
      <c r="B19" s="1" t="s">
        <v>63</v>
      </c>
      <c r="C19" s="1" t="s">
        <v>36</v>
      </c>
      <c r="D19" s="17" t="str">
        <f>IF(Tabla1[[#This Row],[MATERIA PRIMA]]="","",_xlfn.CONCAT(Tabla1[[#This Row],[MATERIA PRIMA]],"_",Tabla1[[#This Row],[PROVEEDOR]],"_",Tabla1[[#This Row],[TIPO]]))</f>
        <v>DAP_EVOAGRO_G</v>
      </c>
      <c r="E19" s="17" t="str">
        <f>IF(Tabla1[[#This Row],[MATERIA PRIMA]]="","",IF(SUM(Tabla1[[#This Row],[C]:[Na]])&gt;0,"OK","P"))</f>
        <v>OK</v>
      </c>
      <c r="F19" s="14"/>
      <c r="G19" s="16">
        <v>0.18</v>
      </c>
      <c r="H19" s="14"/>
      <c r="I19" s="14"/>
      <c r="J19" s="14"/>
      <c r="K19" s="14"/>
      <c r="L19" s="16">
        <v>0.46</v>
      </c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1:25" x14ac:dyDescent="0.25">
      <c r="A20" s="1" t="s">
        <v>68</v>
      </c>
      <c r="B20" s="1" t="s">
        <v>53</v>
      </c>
      <c r="C20" s="1" t="s">
        <v>9</v>
      </c>
      <c r="D20" s="1" t="str">
        <f>IF(Tabla1[[#This Row],[MATERIA PRIMA]]="","",_xlfn.CONCAT(Tabla1[[#This Row],[MATERIA PRIMA]],"_",Tabla1[[#This Row],[PROVEEDOR]],"_",Tabla1[[#This Row],[TIPO]]))</f>
        <v>FERTIMENORES_CALFERQUIM_P</v>
      </c>
      <c r="E20" s="1" t="str">
        <f>IF(Tabla1[[#This Row],[MATERIA PRIMA]]="","",IF(SUM(Tabla1[[#This Row],[C]:[Na]])&gt;0,"OK","P"))</f>
        <v>OK</v>
      </c>
      <c r="F20" s="13"/>
      <c r="G20" s="13"/>
      <c r="H20" s="13"/>
      <c r="I20" s="13"/>
      <c r="J20" s="13"/>
      <c r="K20" s="13"/>
      <c r="L20" s="13">
        <v>0.05</v>
      </c>
      <c r="M20" s="13"/>
      <c r="N20" s="13">
        <v>0.13</v>
      </c>
      <c r="O20" s="13">
        <v>0.06</v>
      </c>
      <c r="P20" s="13">
        <v>0.05</v>
      </c>
      <c r="Q20" s="13">
        <v>0.01</v>
      </c>
      <c r="R20" s="13">
        <v>5.0000000000000001E-3</v>
      </c>
      <c r="S20" s="13"/>
      <c r="T20" s="13"/>
      <c r="U20" s="13"/>
      <c r="V20" s="13"/>
      <c r="W20" s="13"/>
      <c r="X20" s="15">
        <v>2.5000000000000001E-2</v>
      </c>
      <c r="Y20" s="13"/>
    </row>
    <row r="21" spans="1:25" x14ac:dyDescent="0.25">
      <c r="A21" s="1" t="s">
        <v>168</v>
      </c>
      <c r="B21" s="1" t="s">
        <v>116</v>
      </c>
      <c r="C21" s="1" t="s">
        <v>9</v>
      </c>
      <c r="D21" s="17" t="str">
        <f>IF(Tabla1[[#This Row],[MATERIA PRIMA]]="","",_xlfn.CONCAT(Tabla1[[#This Row],[MATERIA PRIMA]],"_",Tabla1[[#This Row],[PROVEEDOR]],"_",Tabla1[[#This Row],[TIPO]]))</f>
        <v>HIDROXIDO CALCIO_JAMAROL_P</v>
      </c>
      <c r="E21" s="17" t="str">
        <f>IF(Tabla1[[#This Row],[MATERIA PRIMA]]="","",IF(SUM(Tabla1[[#This Row],[C]:[Na]])&gt;0,"OK","P"))</f>
        <v>OK</v>
      </c>
      <c r="F21" s="14"/>
      <c r="G21" s="14"/>
      <c r="H21" s="14"/>
      <c r="I21" s="14"/>
      <c r="J21" s="14"/>
      <c r="K21" s="14"/>
      <c r="L21" s="14"/>
      <c r="M21" s="14"/>
      <c r="N21" s="16">
        <v>0.55000000000000004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5">
      <c r="A22" s="1" t="s">
        <v>137</v>
      </c>
      <c r="B22" s="1" t="s">
        <v>53</v>
      </c>
      <c r="C22" s="1" t="s">
        <v>36</v>
      </c>
      <c r="D22" s="17" t="str">
        <f>IF(Tabla1[[#This Row],[MATERIA PRIMA]]="","",_xlfn.CONCAT(Tabla1[[#This Row],[MATERIA PRIMA]],"_",Tabla1[[#This Row],[PROVEEDOR]],"_",Tabla1[[#This Row],[TIPO]]))</f>
        <v>K2K_CALFERQUIM_G</v>
      </c>
      <c r="E22" s="17" t="str">
        <f>IF(Tabla1[[#This Row],[MATERIA PRIMA]]="","",IF(SUM(Tabla1[[#This Row],[C]:[Na]])&gt;0,"OK","P"))</f>
        <v>OK</v>
      </c>
      <c r="F22" s="16">
        <v>0.05</v>
      </c>
      <c r="G22" s="14"/>
      <c r="H22" s="14"/>
      <c r="I22" s="14"/>
      <c r="J22" s="14"/>
      <c r="K22" s="14"/>
      <c r="L22" s="14"/>
      <c r="M22" s="19">
        <v>0.28699999999999998</v>
      </c>
      <c r="N22" s="19">
        <v>2.8000000000000001E-2</v>
      </c>
      <c r="O22" s="14"/>
      <c r="P22" s="19">
        <v>3.4000000000000002E-2</v>
      </c>
      <c r="Q22" s="14"/>
      <c r="R22" s="14"/>
      <c r="S22" s="14"/>
      <c r="T22" s="14"/>
      <c r="U22" s="14"/>
      <c r="V22" s="14"/>
      <c r="W22" s="16">
        <v>0.01</v>
      </c>
      <c r="X22" s="14"/>
      <c r="Y22" s="19">
        <v>3.0000000000000001E-3</v>
      </c>
    </row>
    <row r="23" spans="1:25" x14ac:dyDescent="0.25">
      <c r="A23" s="1" t="s">
        <v>49</v>
      </c>
      <c r="B23" s="1" t="s">
        <v>50</v>
      </c>
      <c r="C23" s="1" t="s">
        <v>36</v>
      </c>
      <c r="D23" s="1" t="str">
        <f>IF(Tabla1[[#This Row],[MATERIA PRIMA]]="","",_xlfn.CONCAT(Tabla1[[#This Row],[MATERIA PRIMA]],"_",Tabla1[[#This Row],[PROVEEDOR]],"_",Tabla1[[#This Row],[TIPO]]))</f>
        <v>KCL_SQM_G</v>
      </c>
      <c r="E23" s="1" t="str">
        <f>IF(Tabla1[[#This Row],[MATERIA PRIMA]]="","",IF(SUM(Tabla1[[#This Row],[C]:[Na]])&gt;0,"OK","P"))</f>
        <v>OK</v>
      </c>
      <c r="F23" s="13"/>
      <c r="G23" s="13"/>
      <c r="H23" s="13"/>
      <c r="I23" s="13"/>
      <c r="J23" s="13"/>
      <c r="K23" s="13"/>
      <c r="L23" s="13"/>
      <c r="M23" s="13">
        <v>0.6</v>
      </c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25">
      <c r="A24" s="1" t="s">
        <v>49</v>
      </c>
      <c r="B24" s="1" t="s">
        <v>48</v>
      </c>
      <c r="C24" s="1" t="s">
        <v>36</v>
      </c>
      <c r="D24" s="1" t="str">
        <f>IF(Tabla1[[#This Row],[MATERIA PRIMA]]="","",_xlfn.CONCAT(Tabla1[[#This Row],[MATERIA PRIMA]],"_",Tabla1[[#This Row],[PROVEEDOR]],"_",Tabla1[[#This Row],[TIPO]]))</f>
        <v>KCL_NUTRICION PLANTAS_G</v>
      </c>
      <c r="E24" s="1" t="str">
        <f>IF(Tabla1[[#This Row],[MATERIA PRIMA]]="","",IF(SUM(Tabla1[[#This Row],[C]:[Na]])&gt;0,"OK","P"))</f>
        <v>OK</v>
      </c>
      <c r="F24" s="13"/>
      <c r="G24" s="13"/>
      <c r="H24" s="13"/>
      <c r="I24" s="13"/>
      <c r="J24" s="13"/>
      <c r="K24" s="13"/>
      <c r="L24" s="13"/>
      <c r="M24" s="13">
        <v>0.6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25">
      <c r="A25" s="1" t="s">
        <v>49</v>
      </c>
      <c r="B25" s="1" t="s">
        <v>63</v>
      </c>
      <c r="C25" s="1" t="s">
        <v>36</v>
      </c>
      <c r="D25" s="1" t="str">
        <f>IF(Tabla1[[#This Row],[MATERIA PRIMA]]="","",_xlfn.CONCAT(Tabla1[[#This Row],[MATERIA PRIMA]],"_",Tabla1[[#This Row],[PROVEEDOR]],"_",Tabla1[[#This Row],[TIPO]]))</f>
        <v>KCL_EVOAGRO_G</v>
      </c>
      <c r="E25" s="1" t="str">
        <f>IF(Tabla1[[#This Row],[MATERIA PRIMA]]="","",IF(SUM(Tabla1[[#This Row],[C]:[Na]])&gt;0,"OK","P"))</f>
        <v>OK</v>
      </c>
      <c r="F25" s="14"/>
      <c r="G25" s="14"/>
      <c r="H25" s="14"/>
      <c r="I25" s="14"/>
      <c r="J25" s="14"/>
      <c r="K25" s="14"/>
      <c r="L25" s="14"/>
      <c r="M25" s="16">
        <v>0.6</v>
      </c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</row>
    <row r="26" spans="1:25" x14ac:dyDescent="0.25">
      <c r="A26" s="1" t="s">
        <v>79</v>
      </c>
      <c r="B26" s="1" t="s">
        <v>62</v>
      </c>
      <c r="C26" s="1" t="s">
        <v>9</v>
      </c>
      <c r="D26" s="1" t="str">
        <f>IF(Tabla1[[#This Row],[MATERIA PRIMA]]="","",_xlfn.CONCAT(Tabla1[[#This Row],[MATERIA PRIMA]],"_",Tabla1[[#This Row],[PROVEEDOR]],"_",Tabla1[[#This Row],[TIPO]]))</f>
        <v>KCL STD_DISAN_P</v>
      </c>
      <c r="E26" s="1" t="str">
        <f>IF(Tabla1[[#This Row],[MATERIA PRIMA]]="","",IF(SUM(Tabla1[[#This Row],[C]:[Na]])&gt;0,"OK","P"))</f>
        <v>OK</v>
      </c>
      <c r="F26" s="13"/>
      <c r="G26" s="13"/>
      <c r="H26" s="13"/>
      <c r="I26" s="13"/>
      <c r="J26" s="13"/>
      <c r="K26" s="13"/>
      <c r="L26" s="13"/>
      <c r="M26" s="13">
        <v>0.6</v>
      </c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25">
      <c r="A27" s="1" t="s">
        <v>26</v>
      </c>
      <c r="B27" s="1" t="s">
        <v>27</v>
      </c>
      <c r="C27" s="1" t="s">
        <v>9</v>
      </c>
      <c r="D27" s="1" t="str">
        <f>IF(Tabla1[[#This Row],[MATERIA PRIMA]]="","",_xlfn.CONCAT(Tabla1[[#This Row],[MATERIA PRIMA]],"_",Tabla1[[#This Row],[PROVEEDOR]],"_",Tabla1[[#This Row],[TIPO]]))</f>
        <v>KIESERITA_MANUCHAR_P</v>
      </c>
      <c r="E27" s="1" t="str">
        <f>IF(Tabla1[[#This Row],[MATERIA PRIMA]]="","",IF(SUM(Tabla1[[#This Row],[C]:[Na]])&gt;0,"OK","P"))</f>
        <v>OK</v>
      </c>
      <c r="F27" s="13"/>
      <c r="G27" s="13"/>
      <c r="H27" s="13"/>
      <c r="I27" s="13"/>
      <c r="J27" s="13"/>
      <c r="K27" s="13"/>
      <c r="L27" s="13"/>
      <c r="M27" s="13"/>
      <c r="N27" s="13"/>
      <c r="O27" s="13">
        <v>0.25</v>
      </c>
      <c r="P27" s="13">
        <v>0.2</v>
      </c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25">
      <c r="A28" s="1" t="s">
        <v>136</v>
      </c>
      <c r="B28" s="1" t="s">
        <v>53</v>
      </c>
      <c r="C28" s="1" t="s">
        <v>36</v>
      </c>
      <c r="D28" s="17" t="str">
        <f>IF(Tabla1[[#This Row],[MATERIA PRIMA]]="","",_xlfn.CONCAT(Tabla1[[#This Row],[MATERIA PRIMA]],"_",Tabla1[[#This Row],[PROVEEDOR]],"_",Tabla1[[#This Row],[TIPO]]))</f>
        <v>MAGNE 3_CALFERQUIM_G</v>
      </c>
      <c r="E28" s="17" t="str">
        <f>IF(Tabla1[[#This Row],[MATERIA PRIMA]]="","",IF(SUM(Tabla1[[#This Row],[C]:[Na]])&gt;0,"OK","P"))</f>
        <v>OK</v>
      </c>
      <c r="F28" s="14"/>
      <c r="G28" s="14"/>
      <c r="H28" s="14"/>
      <c r="I28" s="14"/>
      <c r="J28" s="14"/>
      <c r="K28" s="14"/>
      <c r="L28" s="16"/>
      <c r="M28" s="16">
        <v>0.03</v>
      </c>
      <c r="N28" s="19">
        <v>4.4999999999999998E-2</v>
      </c>
      <c r="O28" s="16">
        <v>0.27</v>
      </c>
      <c r="P28" s="19">
        <v>5.5E-2</v>
      </c>
      <c r="Q28" s="14"/>
      <c r="R28" s="14"/>
      <c r="S28" s="14"/>
      <c r="T28" s="14"/>
      <c r="U28" s="14"/>
      <c r="V28" s="14"/>
      <c r="W28" s="16">
        <v>0.13</v>
      </c>
      <c r="X28" s="14"/>
      <c r="Y28" s="14"/>
    </row>
    <row r="29" spans="1:25" x14ac:dyDescent="0.25">
      <c r="A29" s="1" t="s">
        <v>64</v>
      </c>
      <c r="B29" s="1" t="s">
        <v>46</v>
      </c>
      <c r="C29" s="1" t="s">
        <v>9</v>
      </c>
      <c r="D29" s="1" t="str">
        <f>IF(Tabla1[[#This Row],[MATERIA PRIMA]]="","",_xlfn.CONCAT(Tabla1[[#This Row],[MATERIA PRIMA]],"_",Tabla1[[#This Row],[PROVEEDOR]],"_",Tabla1[[#This Row],[TIPO]]))</f>
        <v>MAP_PRECISAGRO_P</v>
      </c>
      <c r="E29" s="1" t="str">
        <f>IF(Tabla1[[#This Row],[MATERIA PRIMA]]="","",IF(SUM(Tabla1[[#This Row],[C]:[Na]])&gt;0,"OK","P"))</f>
        <v>OK</v>
      </c>
      <c r="F29" s="13"/>
      <c r="G29" s="13">
        <v>0.12</v>
      </c>
      <c r="H29" s="13">
        <v>0.12</v>
      </c>
      <c r="I29" s="13"/>
      <c r="J29" s="13"/>
      <c r="K29" s="13"/>
      <c r="L29" s="13">
        <v>0.52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25">
      <c r="A30" s="1" t="s">
        <v>64</v>
      </c>
      <c r="B30" s="1" t="s">
        <v>48</v>
      </c>
      <c r="C30" s="1" t="s">
        <v>36</v>
      </c>
      <c r="D30" s="1" t="str">
        <f>IF(Tabla1[[#This Row],[MATERIA PRIMA]]="","",_xlfn.CONCAT(Tabla1[[#This Row],[MATERIA PRIMA]],"_",Tabla1[[#This Row],[PROVEEDOR]],"_",Tabla1[[#This Row],[TIPO]]))</f>
        <v>MAP_NUTRICION PLANTAS_G</v>
      </c>
      <c r="E30" s="1" t="str">
        <f>IF(Tabla1[[#This Row],[MATERIA PRIMA]]="","",IF(SUM(Tabla1[[#This Row],[C]:[Na]])&gt;0,"OK","P"))</f>
        <v>OK</v>
      </c>
      <c r="F30" s="13"/>
      <c r="G30" s="13">
        <v>0.11</v>
      </c>
      <c r="H30" s="13">
        <v>0.11</v>
      </c>
      <c r="I30" s="13"/>
      <c r="J30" s="13"/>
      <c r="K30" s="13"/>
      <c r="L30" s="13">
        <v>0.52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25">
      <c r="A31" s="1" t="s">
        <v>64</v>
      </c>
      <c r="B31" s="1" t="s">
        <v>50</v>
      </c>
      <c r="C31" s="1" t="s">
        <v>9</v>
      </c>
      <c r="D31" s="1" t="str">
        <f>IF(Tabla1[[#This Row],[MATERIA PRIMA]]="","",_xlfn.CONCAT(Tabla1[[#This Row],[MATERIA PRIMA]],"_",Tabla1[[#This Row],[PROVEEDOR]],"_",Tabla1[[#This Row],[TIPO]]))</f>
        <v>MAP_SQM_P</v>
      </c>
      <c r="E31" s="1" t="str">
        <f>IF(Tabla1[[#This Row],[MATERIA PRIMA]]="","",IF(SUM(Tabla1[[#This Row],[C]:[Na]])&gt;0,"OK","P"))</f>
        <v>OK</v>
      </c>
      <c r="F31" s="13"/>
      <c r="G31" s="13">
        <v>0.12</v>
      </c>
      <c r="H31" s="13">
        <v>0.12</v>
      </c>
      <c r="I31" s="13"/>
      <c r="J31" s="13"/>
      <c r="K31" s="13"/>
      <c r="L31" s="13">
        <v>0.61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25">
      <c r="A32" s="1" t="s">
        <v>64</v>
      </c>
      <c r="B32" s="1" t="s">
        <v>86</v>
      </c>
      <c r="C32" s="1" t="s">
        <v>36</v>
      </c>
      <c r="D32" s="17" t="str">
        <f>IF(Tabla1[[#This Row],[MATERIA PRIMA]]="","",_xlfn.CONCAT(Tabla1[[#This Row],[MATERIA PRIMA]],"_",Tabla1[[#This Row],[PROVEEDOR]],"_",Tabla1[[#This Row],[TIPO]]))</f>
        <v>MAP_CIAMSA_G</v>
      </c>
      <c r="E32" s="17" t="str">
        <f>IF(Tabla1[[#This Row],[MATERIA PRIMA]]="","",IF(SUM(Tabla1[[#This Row],[C]:[Na]])&gt;0,"OK","P"))</f>
        <v>OK</v>
      </c>
      <c r="F32" s="14"/>
      <c r="G32" s="16">
        <v>0.11</v>
      </c>
      <c r="H32" s="16">
        <v>0.11</v>
      </c>
      <c r="I32" s="14"/>
      <c r="J32" s="14"/>
      <c r="K32" s="14"/>
      <c r="L32" s="16">
        <v>0.52</v>
      </c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</row>
    <row r="33" spans="1:25" x14ac:dyDescent="0.25">
      <c r="A33" s="1" t="s">
        <v>64</v>
      </c>
      <c r="B33" s="1" t="s">
        <v>46</v>
      </c>
      <c r="C33" s="1" t="s">
        <v>36</v>
      </c>
      <c r="D33" s="1" t="str">
        <f>IF(Tabla1[[#This Row],[MATERIA PRIMA]]="","",_xlfn.CONCAT(Tabla1[[#This Row],[MATERIA PRIMA]],"_",Tabla1[[#This Row],[PROVEEDOR]],"_",Tabla1[[#This Row],[TIPO]]))</f>
        <v>MAP_PRECISAGRO_G</v>
      </c>
      <c r="E33" s="1" t="str">
        <f>IF(Tabla1[[#This Row],[MATERIA PRIMA]]="","",IF(SUM(Tabla1[[#This Row],[C]:[Na]])&gt;0,"OK","P"))</f>
        <v>OK</v>
      </c>
      <c r="F33" s="14"/>
      <c r="G33" s="16">
        <v>0.1</v>
      </c>
      <c r="H33" s="16">
        <v>0.1</v>
      </c>
      <c r="I33" s="14"/>
      <c r="J33" s="14"/>
      <c r="K33" s="14"/>
      <c r="L33" s="16">
        <v>0.5</v>
      </c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spans="1:25" x14ac:dyDescent="0.25">
      <c r="A34" s="1" t="s">
        <v>64</v>
      </c>
      <c r="B34" s="1" t="s">
        <v>93</v>
      </c>
      <c r="C34" s="1" t="s">
        <v>36</v>
      </c>
      <c r="D34" s="17" t="str">
        <f>IF(Tabla1[[#This Row],[MATERIA PRIMA]]="","",_xlfn.CONCAT(Tabla1[[#This Row],[MATERIA PRIMA]],"_",Tabla1[[#This Row],[PROVEEDOR]],"_",Tabla1[[#This Row],[TIPO]]))</f>
        <v>MAP_NITROFERT_G</v>
      </c>
      <c r="E34" s="17" t="str">
        <f>IF(Tabla1[[#This Row],[MATERIA PRIMA]]="","",IF(SUM(Tabla1[[#This Row],[C]:[Na]])&gt;0,"OK","P"))</f>
        <v>OK</v>
      </c>
      <c r="F34" s="14"/>
      <c r="G34" s="16">
        <v>0.11</v>
      </c>
      <c r="H34" s="16">
        <v>0.11</v>
      </c>
      <c r="I34" s="14"/>
      <c r="J34" s="14"/>
      <c r="K34" s="14"/>
      <c r="L34" s="16">
        <v>0.52</v>
      </c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1:25" x14ac:dyDescent="0.25">
      <c r="A35" s="1" t="s">
        <v>64</v>
      </c>
      <c r="B35" s="1" t="s">
        <v>63</v>
      </c>
      <c r="C35" s="1" t="s">
        <v>36</v>
      </c>
      <c r="D35" s="17" t="str">
        <f>IF(Tabla1[[#This Row],[MATERIA PRIMA]]="","",_xlfn.CONCAT(Tabla1[[#This Row],[MATERIA PRIMA]],"_",Tabla1[[#This Row],[PROVEEDOR]],"_",Tabla1[[#This Row],[TIPO]]))</f>
        <v>MAP_EVOAGRO_G</v>
      </c>
      <c r="E35" s="17" t="str">
        <f>IF(Tabla1[[#This Row],[MATERIA PRIMA]]="","",IF(SUM(Tabla1[[#This Row],[C]:[Na]])&gt;0,"OK","P"))</f>
        <v>OK</v>
      </c>
      <c r="F35" s="14"/>
      <c r="G35" s="13">
        <v>0.11</v>
      </c>
      <c r="H35" s="13">
        <v>0.11</v>
      </c>
      <c r="I35" s="13"/>
      <c r="J35" s="13"/>
      <c r="K35" s="13"/>
      <c r="L35" s="13">
        <v>0.52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spans="1:25" x14ac:dyDescent="0.25">
      <c r="A36" s="1" t="s">
        <v>94</v>
      </c>
      <c r="B36" s="1" t="s">
        <v>53</v>
      </c>
      <c r="C36" s="1" t="s">
        <v>36</v>
      </c>
      <c r="D36" s="17" t="str">
        <f>IF(Tabla1[[#This Row],[MATERIA PRIMA]]="","",_xlfn.CONCAT(Tabla1[[#This Row],[MATERIA PRIMA]],"_",Tabla1[[#This Row],[PROVEEDOR]],"_",Tabla1[[#This Row],[TIPO]]))</f>
        <v>MF 23-3-20_CALFERQUIM_G</v>
      </c>
      <c r="E36" s="17" t="str">
        <f>IF(Tabla1[[#This Row],[MATERIA PRIMA]]="","",IF(SUM(Tabla1[[#This Row],[C]:[Na]])&gt;0,"OK","P"))</f>
        <v>OK</v>
      </c>
      <c r="F36" s="14"/>
      <c r="G36" s="19">
        <v>0.23</v>
      </c>
      <c r="H36" s="14"/>
      <c r="I36" s="14"/>
      <c r="J36" s="14"/>
      <c r="K36" s="14"/>
      <c r="L36" s="19">
        <v>0.03</v>
      </c>
      <c r="M36" s="19">
        <v>0.2</v>
      </c>
      <c r="N36" s="19">
        <v>3.3000000000000002E-2</v>
      </c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spans="1:25" x14ac:dyDescent="0.25">
      <c r="A37" s="1" t="s">
        <v>70</v>
      </c>
      <c r="B37" s="1" t="s">
        <v>53</v>
      </c>
      <c r="C37" s="1" t="s">
        <v>36</v>
      </c>
      <c r="D37" s="1" t="str">
        <f>IF(Tabla1[[#This Row],[MATERIA PRIMA]]="","",_xlfn.CONCAT(Tabla1[[#This Row],[MATERIA PRIMA]],"_",Tabla1[[#This Row],[PROVEEDOR]],"_",Tabla1[[#This Row],[TIPO]]))</f>
        <v>MF-17-6-18-2_CALFERQUIM_G</v>
      </c>
      <c r="E37" s="1" t="str">
        <f>IF(Tabla1[[#This Row],[MATERIA PRIMA]]="","",IF(SUM(Tabla1[[#This Row],[C]:[Na]])&gt;0,"OK","P"))</f>
        <v>OK</v>
      </c>
      <c r="F37" s="13"/>
      <c r="G37" s="13">
        <v>0.17</v>
      </c>
      <c r="H37" s="13"/>
      <c r="I37" s="13"/>
      <c r="J37" s="13"/>
      <c r="K37" s="13"/>
      <c r="L37" s="13">
        <v>0.06</v>
      </c>
      <c r="M37" s="13">
        <v>0.18</v>
      </c>
      <c r="N37" s="13"/>
      <c r="O37" s="13"/>
      <c r="P37" s="13">
        <v>0.02</v>
      </c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25">
      <c r="A38" s="1" t="s">
        <v>90</v>
      </c>
      <c r="B38" s="1" t="s">
        <v>53</v>
      </c>
      <c r="C38" s="1" t="s">
        <v>36</v>
      </c>
      <c r="D38" s="17" t="str">
        <f>IF(Tabla1[[#This Row],[MATERIA PRIMA]]="","",_xlfn.CONCAT(Tabla1[[#This Row],[MATERIA PRIMA]],"_",Tabla1[[#This Row],[PROVEEDOR]],"_",Tabla1[[#This Row],[TIPO]]))</f>
        <v>MF-23-3-20-4Ca-3Si_CALFERQUIM_G</v>
      </c>
      <c r="E38" s="17" t="str">
        <f>IF(Tabla1[[#This Row],[MATERIA PRIMA]]="","",IF(SUM(Tabla1[[#This Row],[C]:[Na]])&gt;0,"OK","P"))</f>
        <v>OK</v>
      </c>
      <c r="F38" s="14"/>
      <c r="G38" s="16">
        <v>0.23</v>
      </c>
      <c r="H38" s="14"/>
      <c r="I38" s="14"/>
      <c r="J38" s="14"/>
      <c r="K38" s="14"/>
      <c r="L38" s="16">
        <v>0.03</v>
      </c>
      <c r="M38" s="16">
        <v>0.2</v>
      </c>
      <c r="N38" s="16">
        <v>0.04</v>
      </c>
      <c r="O38" s="14"/>
      <c r="P38" s="14"/>
      <c r="Q38" s="14"/>
      <c r="R38" s="14"/>
      <c r="S38" s="14"/>
      <c r="T38" s="14"/>
      <c r="U38" s="14"/>
      <c r="V38" s="14"/>
      <c r="W38" s="16">
        <v>0.03</v>
      </c>
      <c r="X38" s="14"/>
      <c r="Y38" s="14"/>
    </row>
    <row r="39" spans="1:25" x14ac:dyDescent="0.25">
      <c r="A39" s="1" t="s">
        <v>92</v>
      </c>
      <c r="B39" s="1" t="s">
        <v>53</v>
      </c>
      <c r="C39" s="1" t="s">
        <v>36</v>
      </c>
      <c r="D39" s="17" t="str">
        <f>IF(Tabla1[[#This Row],[MATERIA PRIMA]]="","",_xlfn.CONCAT(Tabla1[[#This Row],[MATERIA PRIMA]],"_",Tabla1[[#This Row],[PROVEEDOR]],"_",Tabla1[[#This Row],[TIPO]]))</f>
        <v>MICRON C_CALFERQUIM_G</v>
      </c>
      <c r="E39" s="17" t="str">
        <f>IF(Tabla1[[#This Row],[MATERIA PRIMA]]="","",IF(SUM(Tabla1[[#This Row],[C]:[Na]])&gt;0,"OK","P"))</f>
        <v>OK</v>
      </c>
      <c r="F39" s="14"/>
      <c r="G39" s="16">
        <v>0.46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spans="1:25" x14ac:dyDescent="0.25">
      <c r="A40" s="1" t="s">
        <v>91</v>
      </c>
      <c r="B40" s="1" t="s">
        <v>53</v>
      </c>
      <c r="C40" s="1" t="s">
        <v>36</v>
      </c>
      <c r="D40" s="17" t="str">
        <f>IF(Tabla1[[#This Row],[MATERIA PRIMA]]="","",_xlfn.CONCAT(Tabla1[[#This Row],[MATERIA PRIMA]],"_",Tabla1[[#This Row],[PROVEEDOR]],"_",Tabla1[[#This Row],[TIPO]]))</f>
        <v>MICRON CS_CALFERQUIM_G</v>
      </c>
      <c r="E40" s="17" t="str">
        <f>IF(Tabla1[[#This Row],[MATERIA PRIMA]]="","",IF(SUM(Tabla1[[#This Row],[C]:[Na]])&gt;0,"OK","P"))</f>
        <v>OK</v>
      </c>
      <c r="F40" s="14"/>
      <c r="G40" s="16">
        <v>0.4</v>
      </c>
      <c r="H40" s="14"/>
      <c r="I40" s="14"/>
      <c r="J40" s="14"/>
      <c r="K40" s="16">
        <v>0.4</v>
      </c>
      <c r="L40" s="14"/>
      <c r="M40" s="14"/>
      <c r="N40" s="14"/>
      <c r="O40" s="14"/>
      <c r="P40" s="16">
        <v>0.06</v>
      </c>
      <c r="Q40" s="14"/>
      <c r="R40" s="14"/>
      <c r="S40" s="14"/>
      <c r="T40" s="14"/>
      <c r="U40" s="14"/>
      <c r="V40" s="14"/>
      <c r="W40" s="14"/>
      <c r="X40" s="14"/>
      <c r="Y40" s="14"/>
    </row>
    <row r="41" spans="1:25" x14ac:dyDescent="0.25">
      <c r="A41" s="1" t="s">
        <v>73</v>
      </c>
      <c r="B41" s="1" t="s">
        <v>46</v>
      </c>
      <c r="C41" s="1" t="s">
        <v>3</v>
      </c>
      <c r="D41" s="1" t="str">
        <f>IF(Tabla1[[#This Row],[MATERIA PRIMA]]="","",_xlfn.CONCAT(Tabla1[[#This Row],[MATERIA PRIMA]],"_",Tabla1[[#This Row],[PROVEEDOR]],"_",Tabla1[[#This Row],[TIPO]]))</f>
        <v>MKP_PRECISAGRO_C</v>
      </c>
      <c r="E41" s="1" t="str">
        <f>IF(Tabla1[[#This Row],[MATERIA PRIMA]]="","",IF(SUM(Tabla1[[#This Row],[C]:[Na]])&gt;0,"OK","P"))</f>
        <v>OK</v>
      </c>
      <c r="F41" s="13"/>
      <c r="G41" s="13"/>
      <c r="H41" s="13"/>
      <c r="I41" s="13"/>
      <c r="J41" s="13"/>
      <c r="K41" s="13"/>
      <c r="L41" s="13">
        <v>0.52</v>
      </c>
      <c r="M41" s="13">
        <v>0.34</v>
      </c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  <row r="42" spans="1:25" x14ac:dyDescent="0.25">
      <c r="A42" s="1" t="s">
        <v>34</v>
      </c>
      <c r="B42" s="1" t="s">
        <v>53</v>
      </c>
      <c r="C42" s="1" t="s">
        <v>36</v>
      </c>
      <c r="D42" s="1" t="str">
        <f>IF(Tabla1[[#This Row],[MATERIA PRIMA]]="","",_xlfn.CONCAT(Tabla1[[#This Row],[MATERIA PRIMA]],"_",Tabla1[[#This Row],[PROVEEDOR]],"_",Tabla1[[#This Row],[TIPO]]))</f>
        <v>NUCLEO 4_CALFERQUIM_G</v>
      </c>
      <c r="E42" s="1" t="str">
        <f>IF(Tabla1[[#This Row],[MATERIA PRIMA]]="","",IF(SUM(Tabla1[[#This Row],[C]:[Na]])&gt;0,"OK","P"))</f>
        <v>OK</v>
      </c>
      <c r="F42" s="13"/>
      <c r="G42" s="13"/>
      <c r="H42" s="13"/>
      <c r="I42" s="13"/>
      <c r="J42" s="13"/>
      <c r="K42" s="13"/>
      <c r="L42" s="13"/>
      <c r="M42" s="13"/>
      <c r="N42" s="13">
        <v>0.18</v>
      </c>
      <c r="O42" s="13">
        <v>0.18</v>
      </c>
      <c r="P42" s="13">
        <v>0.04</v>
      </c>
      <c r="Q42" s="13"/>
      <c r="R42" s="13"/>
      <c r="S42" s="13"/>
      <c r="T42" s="13"/>
      <c r="U42" s="13"/>
      <c r="V42" s="13"/>
      <c r="W42" s="13">
        <v>0.14000000000000001</v>
      </c>
      <c r="X42" s="13"/>
      <c r="Y42" s="13"/>
    </row>
    <row r="43" spans="1:25" x14ac:dyDescent="0.25">
      <c r="A43" s="1" t="s">
        <v>88</v>
      </c>
      <c r="B43" s="1" t="s">
        <v>89</v>
      </c>
      <c r="C43" s="1" t="s">
        <v>36</v>
      </c>
      <c r="D43" s="1" t="str">
        <f>IF(Tabla1[[#This Row],[MATERIA PRIMA]]="","",_xlfn.CONCAT(Tabla1[[#This Row],[MATERIA PRIMA]],"_",Tabla1[[#This Row],[PROVEEDOR]],"_",Tabla1[[#This Row],[TIPO]]))</f>
        <v>NUCLEO HIERRO_CAMPOFERT_G</v>
      </c>
      <c r="E43" s="1" t="str">
        <f>IF(Tabla1[[#This Row],[MATERIA PRIMA]]="","",IF(SUM(Tabla1[[#This Row],[C]:[Na]])&gt;0,"OK","P"))</f>
        <v>P</v>
      </c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x14ac:dyDescent="0.25">
      <c r="A44" s="1" t="s">
        <v>77</v>
      </c>
      <c r="B44" s="1" t="s">
        <v>78</v>
      </c>
      <c r="C44" s="1" t="s">
        <v>9</v>
      </c>
      <c r="D44" s="1" t="str">
        <f>IF(Tabla1[[#This Row],[MATERIA PRIMA]]="","",_xlfn.CONCAT(Tabla1[[#This Row],[MATERIA PRIMA]],"_",Tabla1[[#This Row],[PROVEEDOR]],"_",Tabla1[[#This Row],[TIPO]]))</f>
        <v>OXIDO MAGNESIO_ATEQUIMICOS_P</v>
      </c>
      <c r="E44" s="1" t="str">
        <f>IF(Tabla1[[#This Row],[MATERIA PRIMA]]="","",IF(SUM(Tabla1[[#This Row],[C]:[Na]])&gt;0,"OK","P"))</f>
        <v>OK</v>
      </c>
      <c r="F44" s="13"/>
      <c r="G44" s="13"/>
      <c r="H44" s="13"/>
      <c r="I44" s="13"/>
      <c r="J44" s="13"/>
      <c r="K44" s="13"/>
      <c r="L44" s="13"/>
      <c r="M44" s="13"/>
      <c r="N44" s="13">
        <v>0.03</v>
      </c>
      <c r="O44" s="13">
        <v>0.9</v>
      </c>
      <c r="P44" s="13"/>
      <c r="Q44" s="13"/>
      <c r="R44" s="13"/>
      <c r="S44" s="13"/>
      <c r="T44" s="13"/>
      <c r="U44" s="13"/>
      <c r="V44" s="13"/>
      <c r="W44" s="13">
        <v>0.05</v>
      </c>
      <c r="X44" s="13"/>
      <c r="Y44" s="13"/>
    </row>
    <row r="45" spans="1:25" x14ac:dyDescent="0.25">
      <c r="A45" s="1" t="s">
        <v>69</v>
      </c>
      <c r="B45" s="1" t="s">
        <v>46</v>
      </c>
      <c r="C45" s="1"/>
      <c r="D45" s="1" t="str">
        <f>IF(Tabla1[[#This Row],[MATERIA PRIMA]]="","",_xlfn.CONCAT(Tabla1[[#This Row],[MATERIA PRIMA]],"_",Tabla1[[#This Row],[PROVEEDOR]],"_",Tabla1[[#This Row],[TIPO]]))</f>
        <v>PANTEKALI_PRECISAGRO_</v>
      </c>
      <c r="E45" s="1" t="str">
        <f>IF(Tabla1[[#This Row],[MATERIA PRIMA]]="","",IF(SUM(Tabla1[[#This Row],[C]:[Na]])&gt;0,"OK","P"))</f>
        <v>OK</v>
      </c>
      <c r="F45" s="13"/>
      <c r="G45" s="13"/>
      <c r="H45" s="13"/>
      <c r="I45" s="13"/>
      <c r="J45" s="13"/>
      <c r="K45" s="13"/>
      <c r="L45" s="13"/>
      <c r="M45" s="13">
        <v>0.3</v>
      </c>
      <c r="N45" s="13"/>
      <c r="O45" s="13">
        <v>0.1</v>
      </c>
      <c r="P45" s="13">
        <v>0.17</v>
      </c>
      <c r="Q45" s="13"/>
      <c r="R45" s="13"/>
      <c r="S45" s="13"/>
      <c r="T45" s="13"/>
      <c r="U45" s="13"/>
      <c r="V45" s="13"/>
      <c r="W45" s="13"/>
      <c r="X45" s="13"/>
      <c r="Y45" s="13"/>
    </row>
    <row r="46" spans="1:25" x14ac:dyDescent="0.25">
      <c r="A46" s="1" t="s">
        <v>69</v>
      </c>
      <c r="B46" s="1" t="s">
        <v>62</v>
      </c>
      <c r="C46" s="1"/>
      <c r="D46" s="17" t="str">
        <f>IF(Tabla1[[#This Row],[MATERIA PRIMA]]="","",_xlfn.CONCAT(Tabla1[[#This Row],[MATERIA PRIMA]],"_",Tabla1[[#This Row],[PROVEEDOR]],"_",Tabla1[[#This Row],[TIPO]]))</f>
        <v>PANTEKALI_DISAN_</v>
      </c>
      <c r="E46" s="17" t="str">
        <f>IF(Tabla1[[#This Row],[MATERIA PRIMA]]="","",IF(SUM(Tabla1[[#This Row],[C]:[Na]])&gt;0,"OK","P"))</f>
        <v>OK</v>
      </c>
      <c r="F46" s="13"/>
      <c r="G46" s="13"/>
      <c r="H46" s="13"/>
      <c r="I46" s="13"/>
      <c r="J46" s="13"/>
      <c r="K46" s="13"/>
      <c r="L46" s="13"/>
      <c r="M46" s="13">
        <v>0.3</v>
      </c>
      <c r="N46" s="13"/>
      <c r="O46" s="13">
        <v>0.1</v>
      </c>
      <c r="P46" s="13">
        <v>0.17</v>
      </c>
      <c r="Q46" s="13"/>
      <c r="R46" s="13"/>
      <c r="S46" s="13"/>
      <c r="T46" s="13"/>
      <c r="U46" s="13"/>
      <c r="V46" s="13"/>
      <c r="W46" s="13"/>
      <c r="X46" s="13"/>
      <c r="Y46" s="13"/>
    </row>
    <row r="47" spans="1:25" x14ac:dyDescent="0.25">
      <c r="A47" s="1" t="s">
        <v>54</v>
      </c>
      <c r="B47" s="1" t="s">
        <v>53</v>
      </c>
      <c r="C47" s="1" t="s">
        <v>36</v>
      </c>
      <c r="D47" s="1" t="str">
        <f>IF(Tabla1[[#This Row],[MATERIA PRIMA]]="","",_xlfn.CONCAT(Tabla1[[#This Row],[MATERIA PRIMA]],"_",Tabla1[[#This Row],[PROVEEDOR]],"_",Tabla1[[#This Row],[TIPO]]))</f>
        <v>RAIFOS20_CALFERQUIM_G</v>
      </c>
      <c r="E47" s="1" t="str">
        <f>IF(Tabla1[[#This Row],[MATERIA PRIMA]]="","",IF(SUM(Tabla1[[#This Row],[C]:[Na]])&gt;0,"OK","P"))</f>
        <v>OK</v>
      </c>
      <c r="F47" s="13">
        <v>0.05</v>
      </c>
      <c r="G47" s="13"/>
      <c r="H47" s="13"/>
      <c r="I47" s="13"/>
      <c r="J47" s="13"/>
      <c r="K47" s="13"/>
      <c r="L47" s="13">
        <v>0.2</v>
      </c>
      <c r="M47" s="13"/>
      <c r="N47" s="13">
        <v>0.23</v>
      </c>
      <c r="O47" s="15">
        <v>1.4999999999999999E-2</v>
      </c>
      <c r="P47" s="15">
        <v>0.01</v>
      </c>
      <c r="Q47" s="13"/>
      <c r="R47" s="13"/>
      <c r="S47" s="13"/>
      <c r="T47" s="13"/>
      <c r="U47" s="13"/>
      <c r="V47" s="13"/>
      <c r="W47" s="13">
        <v>0.21</v>
      </c>
      <c r="X47" s="13"/>
      <c r="Y47" s="13"/>
    </row>
    <row r="48" spans="1:25" x14ac:dyDescent="0.25">
      <c r="A48" s="1" t="s">
        <v>55</v>
      </c>
      <c r="B48" s="1" t="s">
        <v>56</v>
      </c>
      <c r="C48" s="1" t="s">
        <v>9</v>
      </c>
      <c r="D48" s="1" t="str">
        <f>IF(Tabla1[[#This Row],[MATERIA PRIMA]]="","",_xlfn.CONCAT(Tabla1[[#This Row],[MATERIA PRIMA]],"_",Tabla1[[#This Row],[PROVEEDOR]],"_",Tabla1[[#This Row],[TIPO]]))</f>
        <v>ROCA FOSFÓRICA_FOSFATOS HUILA_P</v>
      </c>
      <c r="E48" s="1" t="str">
        <f>IF(Tabla1[[#This Row],[MATERIA PRIMA]]="","",IF(SUM(Tabla1[[#This Row],[C]:[Na]])&gt;0,"OK","P"))</f>
        <v>OK</v>
      </c>
      <c r="F48" s="13"/>
      <c r="G48" s="13"/>
      <c r="H48" s="13"/>
      <c r="I48" s="13"/>
      <c r="J48" s="13"/>
      <c r="K48" s="13"/>
      <c r="L48" s="13">
        <v>0.28000000000000003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</row>
    <row r="49" spans="1:25" x14ac:dyDescent="0.25">
      <c r="A49" s="1" t="s">
        <v>165</v>
      </c>
      <c r="B49" s="1" t="s">
        <v>61</v>
      </c>
      <c r="C49" s="1" t="s">
        <v>9</v>
      </c>
      <c r="D49" s="17" t="str">
        <f>IF(Tabla1[[#This Row],[MATERIA PRIMA]]="","",_xlfn.CONCAT(Tabla1[[#This Row],[MATERIA PRIMA]],"_",Tabla1[[#This Row],[PROVEEDOR]],"_",Tabla1[[#This Row],[TIPO]]))</f>
        <v>ROCA FOSFORICA-24_PRACO_P</v>
      </c>
      <c r="E49" s="17" t="str">
        <f>IF(Tabla1[[#This Row],[MATERIA PRIMA]]="","",IF(SUM(Tabla1[[#This Row],[C]:[Na]])&gt;0,"OK","P"))</f>
        <v>OK</v>
      </c>
      <c r="F49" s="14"/>
      <c r="G49" s="14"/>
      <c r="H49" s="14"/>
      <c r="I49" s="14"/>
      <c r="J49" s="14"/>
      <c r="K49" s="14"/>
      <c r="L49" s="16">
        <v>0.24</v>
      </c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x14ac:dyDescent="0.25">
      <c r="A50" s="1" t="s">
        <v>164</v>
      </c>
      <c r="B50" s="1" t="s">
        <v>61</v>
      </c>
      <c r="C50" s="1" t="s">
        <v>9</v>
      </c>
      <c r="D50" s="17" t="str">
        <f>IF(Tabla1[[#This Row],[MATERIA PRIMA]]="","",_xlfn.CONCAT(Tabla1[[#This Row],[MATERIA PRIMA]],"_",Tabla1[[#This Row],[PROVEEDOR]],"_",Tabla1[[#This Row],[TIPO]]))</f>
        <v>ROCA FOSFORICA-26_PRACO_P</v>
      </c>
      <c r="E50" s="17" t="str">
        <f>IF(Tabla1[[#This Row],[MATERIA PRIMA]]="","",IF(SUM(Tabla1[[#This Row],[C]:[Na]])&gt;0,"OK","P"))</f>
        <v>OK</v>
      </c>
      <c r="F50" s="14"/>
      <c r="G50" s="14"/>
      <c r="H50" s="14"/>
      <c r="I50" s="14"/>
      <c r="J50" s="14"/>
      <c r="K50" s="14"/>
      <c r="L50" s="16">
        <v>0.26</v>
      </c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x14ac:dyDescent="0.25">
      <c r="A51" s="1" t="s">
        <v>163</v>
      </c>
      <c r="B51" s="1" t="s">
        <v>61</v>
      </c>
      <c r="C51" s="1" t="s">
        <v>9</v>
      </c>
      <c r="D51" s="1" t="str">
        <f>IF(Tabla1[[#This Row],[MATERIA PRIMA]]="","",_xlfn.CONCAT(Tabla1[[#This Row],[MATERIA PRIMA]],"_",Tabla1[[#This Row],[PROVEEDOR]],"_",Tabla1[[#This Row],[TIPO]]))</f>
        <v>ROCA FOSFÓRICA-28_PRACO_P</v>
      </c>
      <c r="E51" s="1" t="str">
        <f>IF(Tabla1[[#This Row],[MATERIA PRIMA]]="","",IF(SUM(Tabla1[[#This Row],[C]:[Na]])&gt;0,"OK","P"))</f>
        <v>OK</v>
      </c>
      <c r="F51" s="13"/>
      <c r="G51" s="13"/>
      <c r="H51" s="13"/>
      <c r="I51" s="13"/>
      <c r="J51" s="13"/>
      <c r="K51" s="13"/>
      <c r="L51" s="13">
        <v>0.28000000000000003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</row>
    <row r="52" spans="1:25" x14ac:dyDescent="0.25">
      <c r="A52" s="1" t="s">
        <v>166</v>
      </c>
      <c r="B52" s="1"/>
      <c r="C52" s="1" t="s">
        <v>9</v>
      </c>
      <c r="D52" s="17" t="str">
        <f>IF(Tabla1[[#This Row],[MATERIA PRIMA]]="","",_xlfn.CONCAT(Tabla1[[#This Row],[MATERIA PRIMA]],"_",Tabla1[[#This Row],[PROVEEDOR]],"_",Tabla1[[#This Row],[TIPO]]))</f>
        <v>ROCA FOSFORICA-30__P</v>
      </c>
      <c r="E52" s="17" t="str">
        <f>IF(Tabla1[[#This Row],[MATERIA PRIMA]]="","",IF(SUM(Tabla1[[#This Row],[C]:[Na]])&gt;0,"OK","P"))</f>
        <v>OK</v>
      </c>
      <c r="F52" s="14"/>
      <c r="G52" s="14"/>
      <c r="H52" s="14"/>
      <c r="I52" s="14"/>
      <c r="J52" s="14"/>
      <c r="K52" s="14"/>
      <c r="L52" s="16">
        <v>0.3</v>
      </c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x14ac:dyDescent="0.25">
      <c r="A53" s="1" t="s">
        <v>47</v>
      </c>
      <c r="B53" s="1" t="s">
        <v>48</v>
      </c>
      <c r="C53" s="1" t="s">
        <v>36</v>
      </c>
      <c r="D53" s="1" t="str">
        <f>IF(Tabla1[[#This Row],[MATERIA PRIMA]]="","",_xlfn.CONCAT(Tabla1[[#This Row],[MATERIA PRIMA]],"_",Tabla1[[#This Row],[PROVEEDOR]],"_",Tabla1[[#This Row],[TIPO]]))</f>
        <v>SAM_NUTRICION PLANTAS_G</v>
      </c>
      <c r="E53" s="1" t="str">
        <f>IF(Tabla1[[#This Row],[MATERIA PRIMA]]="","",IF(SUM(Tabla1[[#This Row],[C]:[Na]])&gt;0,"OK","P"))</f>
        <v>OK</v>
      </c>
      <c r="F53" s="13"/>
      <c r="G53" s="13">
        <v>0.21</v>
      </c>
      <c r="H53" s="13">
        <v>0.21</v>
      </c>
      <c r="I53" s="13"/>
      <c r="J53" s="13"/>
      <c r="K53" s="13"/>
      <c r="L53" s="13"/>
      <c r="M53" s="13"/>
      <c r="N53" s="13"/>
      <c r="O53" s="13"/>
      <c r="P53" s="13">
        <v>0.24</v>
      </c>
      <c r="Q53" s="13"/>
      <c r="R53" s="13"/>
      <c r="S53" s="13"/>
      <c r="T53" s="13"/>
      <c r="U53" s="13"/>
      <c r="V53" s="13"/>
      <c r="W53" s="13"/>
      <c r="X53" s="13"/>
      <c r="Y53" s="13"/>
    </row>
    <row r="54" spans="1:25" x14ac:dyDescent="0.25">
      <c r="A54" s="1" t="s">
        <v>47</v>
      </c>
      <c r="B54" s="1" t="s">
        <v>46</v>
      </c>
      <c r="C54" s="1" t="s">
        <v>36</v>
      </c>
      <c r="D54" s="1" t="str">
        <f>IF(Tabla1[[#This Row],[MATERIA PRIMA]]="","",_xlfn.CONCAT(Tabla1[[#This Row],[MATERIA PRIMA]],"_",Tabla1[[#This Row],[PROVEEDOR]],"_",Tabla1[[#This Row],[TIPO]]))</f>
        <v>SAM_PRECISAGRO_G</v>
      </c>
      <c r="E54" s="1" t="str">
        <f>IF(Tabla1[[#This Row],[MATERIA PRIMA]]="","",IF(SUM(Tabla1[[#This Row],[C]:[Na]])&gt;0,"OK","P"))</f>
        <v>OK</v>
      </c>
      <c r="F54" s="13"/>
      <c r="G54" s="13">
        <v>0.21</v>
      </c>
      <c r="H54" s="13">
        <v>0.21</v>
      </c>
      <c r="I54" s="13"/>
      <c r="J54" s="13"/>
      <c r="K54" s="13"/>
      <c r="L54" s="13"/>
      <c r="M54" s="13"/>
      <c r="N54" s="13"/>
      <c r="O54" s="13"/>
      <c r="P54" s="13">
        <v>0.24</v>
      </c>
      <c r="Q54" s="13"/>
      <c r="R54" s="13"/>
      <c r="S54" s="13"/>
      <c r="T54" s="13"/>
      <c r="U54" s="13"/>
      <c r="V54" s="13"/>
      <c r="W54" s="13"/>
      <c r="X54" s="13"/>
      <c r="Y54" s="13"/>
    </row>
    <row r="55" spans="1:25" x14ac:dyDescent="0.25">
      <c r="A55" s="1" t="s">
        <v>47</v>
      </c>
      <c r="B55" s="1" t="s">
        <v>63</v>
      </c>
      <c r="C55" s="1" t="s">
        <v>87</v>
      </c>
      <c r="D55" s="1" t="str">
        <f>IF(Tabla1[[#This Row],[MATERIA PRIMA]]="","",_xlfn.CONCAT(Tabla1[[#This Row],[MATERIA PRIMA]],"_",Tabla1[[#This Row],[PROVEEDOR]],"_",Tabla1[[#This Row],[TIPO]]))</f>
        <v>SAM_EVOAGRO_g</v>
      </c>
      <c r="E55" s="1" t="str">
        <f>IF(Tabla1[[#This Row],[MATERIA PRIMA]]="","",IF(SUM(Tabla1[[#This Row],[C]:[Na]])&gt;0,"OK","P"))</f>
        <v>OK</v>
      </c>
      <c r="F55" s="14"/>
      <c r="G55" s="13">
        <v>0.21</v>
      </c>
      <c r="H55" s="13">
        <v>0.21</v>
      </c>
      <c r="I55" s="13"/>
      <c r="J55" s="13"/>
      <c r="K55" s="13"/>
      <c r="L55" s="13"/>
      <c r="M55" s="13"/>
      <c r="N55" s="13"/>
      <c r="O55" s="13"/>
      <c r="P55" s="13">
        <v>0.24</v>
      </c>
      <c r="Q55" s="14"/>
      <c r="R55" s="14"/>
      <c r="S55" s="14"/>
      <c r="T55" s="14"/>
      <c r="U55" s="14"/>
      <c r="V55" s="14"/>
      <c r="W55" s="14"/>
      <c r="X55" s="14"/>
      <c r="Y55" s="14"/>
    </row>
    <row r="56" spans="1:25" x14ac:dyDescent="0.25">
      <c r="A56" s="1" t="s">
        <v>67</v>
      </c>
      <c r="B56" s="1" t="s">
        <v>66</v>
      </c>
      <c r="C56" s="1" t="s">
        <v>9</v>
      </c>
      <c r="D56" s="1" t="str">
        <f>IF(Tabla1[[#This Row],[MATERIA PRIMA]]="","",_xlfn.CONCAT(Tabla1[[#This Row],[MATERIA PRIMA]],"_",Tabla1[[#This Row],[PROVEEDOR]],"_",Tabla1[[#This Row],[TIPO]]))</f>
        <v>SILICATO HIERRO_HYM_P</v>
      </c>
      <c r="E56" s="1" t="str">
        <f>IF(Tabla1[[#This Row],[MATERIA PRIMA]]="","",IF(SUM(Tabla1[[#This Row],[C]:[Na]])&gt;0,"OK","P"))</f>
        <v>P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</row>
    <row r="57" spans="1:25" x14ac:dyDescent="0.25">
      <c r="A57" s="1" t="s">
        <v>30</v>
      </c>
      <c r="B57" s="1" t="s">
        <v>31</v>
      </c>
      <c r="C57" s="1" t="s">
        <v>9</v>
      </c>
      <c r="D57" s="1" t="str">
        <f>IF(Tabla1[[#This Row],[MATERIA PRIMA]]="","",_xlfn.CONCAT(Tabla1[[#This Row],[MATERIA PRIMA]],"_",Tabla1[[#This Row],[PROVEEDOR]],"_",Tabla1[[#This Row],[TIPO]]))</f>
        <v>SILICATO MAGNESIO_JULIAN SALDARRIAGA_P</v>
      </c>
      <c r="E57" s="1" t="str">
        <f>IF(Tabla1[[#This Row],[MATERIA PRIMA]]="","",IF(SUM(Tabla1[[#This Row],[C]:[Na]])&gt;0,"OK","P"))</f>
        <v>OK</v>
      </c>
      <c r="F57" s="13"/>
      <c r="G57" s="13"/>
      <c r="H57" s="13"/>
      <c r="I57" s="13"/>
      <c r="J57" s="13"/>
      <c r="K57" s="13"/>
      <c r="L57" s="13"/>
      <c r="M57" s="13"/>
      <c r="N57" s="13"/>
      <c r="O57" s="13">
        <v>0.36</v>
      </c>
      <c r="P57" s="13"/>
      <c r="Q57" s="13"/>
      <c r="R57" s="13"/>
      <c r="S57" s="13"/>
      <c r="T57" s="13"/>
      <c r="U57" s="13"/>
      <c r="V57" s="13"/>
      <c r="W57" s="13">
        <v>0.39600000000000002</v>
      </c>
      <c r="X57" s="13"/>
      <c r="Y57" s="13"/>
    </row>
    <row r="58" spans="1:25" x14ac:dyDescent="0.25">
      <c r="A58" s="1" t="s">
        <v>52</v>
      </c>
      <c r="B58" s="1" t="s">
        <v>53</v>
      </c>
      <c r="C58" s="1" t="s">
        <v>36</v>
      </c>
      <c r="D58" s="1" t="str">
        <f>IF(Tabla1[[#This Row],[MATERIA PRIMA]]="","",_xlfn.CONCAT(Tabla1[[#This Row],[MATERIA PRIMA]],"_",Tabla1[[#This Row],[PROVEEDOR]],"_",Tabla1[[#This Row],[TIPO]]))</f>
        <v>SILIMAGRAN_CALFERQUIM_G</v>
      </c>
      <c r="E58" s="1" t="str">
        <f>IF(Tabla1[[#This Row],[MATERIA PRIMA]]="","",IF(SUM(Tabla1[[#This Row],[C]:[Na]])&gt;0,"OK","P"))</f>
        <v>OK</v>
      </c>
      <c r="F58" s="13"/>
      <c r="G58" s="13"/>
      <c r="H58" s="13"/>
      <c r="I58" s="13"/>
      <c r="J58" s="13"/>
      <c r="K58" s="13"/>
      <c r="L58" s="13">
        <v>0.05</v>
      </c>
      <c r="M58" s="13"/>
      <c r="N58" s="13"/>
      <c r="O58" s="13">
        <v>0.3</v>
      </c>
      <c r="P58" s="13"/>
      <c r="Q58" s="13"/>
      <c r="R58" s="13"/>
      <c r="S58" s="13"/>
      <c r="T58" s="13"/>
      <c r="U58" s="13"/>
      <c r="V58" s="13"/>
      <c r="W58" s="13">
        <v>0.3</v>
      </c>
      <c r="X58" s="13"/>
      <c r="Y58" s="13"/>
    </row>
    <row r="59" spans="1:25" x14ac:dyDescent="0.25">
      <c r="A59" s="1" t="s">
        <v>25</v>
      </c>
      <c r="B59" s="1" t="s">
        <v>24</v>
      </c>
      <c r="C59" s="1" t="s">
        <v>9</v>
      </c>
      <c r="D59" s="1" t="str">
        <f>IF(Tabla1[[#This Row],[MATERIA PRIMA]]="","",_xlfn.CONCAT(Tabla1[[#This Row],[MATERIA PRIMA]],"_",Tabla1[[#This Row],[PROVEEDOR]],"_",Tabla1[[#This Row],[TIPO]]))</f>
        <v>SULFATO CALCIO_ANIBAL ARANGO_P</v>
      </c>
      <c r="E59" s="1" t="str">
        <f>IF(Tabla1[[#This Row],[MATERIA PRIMA]]="","",IF(SUM(Tabla1[[#This Row],[C]:[Na]])&gt;0,"OK","P"))</f>
        <v>OK</v>
      </c>
      <c r="F59" s="13"/>
      <c r="G59" s="13"/>
      <c r="H59" s="13"/>
      <c r="I59" s="13"/>
      <c r="J59" s="13"/>
      <c r="K59" s="13"/>
      <c r="L59" s="13"/>
      <c r="M59" s="13"/>
      <c r="N59" s="13">
        <v>0.26</v>
      </c>
      <c r="O59" s="13"/>
      <c r="P59" s="13">
        <v>0.13</v>
      </c>
      <c r="Q59" s="13"/>
      <c r="R59" s="13"/>
      <c r="S59" s="13"/>
      <c r="T59" s="13"/>
      <c r="U59" s="13"/>
      <c r="V59" s="13"/>
      <c r="W59" s="13"/>
      <c r="X59" s="13"/>
      <c r="Y59" s="13"/>
    </row>
    <row r="60" spans="1:25" x14ac:dyDescent="0.25">
      <c r="A60" s="1" t="s">
        <v>75</v>
      </c>
      <c r="B60" s="1" t="s">
        <v>53</v>
      </c>
      <c r="C60" s="1" t="s">
        <v>36</v>
      </c>
      <c r="D60" s="17" t="str">
        <f>IF(Tabla1[[#This Row],[MATERIA PRIMA]]="","",_xlfn.CONCAT(Tabla1[[#This Row],[MATERIA PRIMA]],"_",Tabla1[[#This Row],[PROVEEDOR]],"_",Tabla1[[#This Row],[TIPO]]))</f>
        <v>SULFATO CALCIO P_CALFERQUIM_G</v>
      </c>
      <c r="E60" s="17" t="str">
        <f>IF(Tabla1[[#This Row],[MATERIA PRIMA]]="","",IF(SUM(Tabla1[[#This Row],[C]:[Na]])&gt;0,"OK","P"))</f>
        <v>OK</v>
      </c>
      <c r="F60" s="14"/>
      <c r="G60" s="14"/>
      <c r="H60" s="14"/>
      <c r="I60" s="14"/>
      <c r="J60" s="14"/>
      <c r="K60" s="14"/>
      <c r="L60" s="14"/>
      <c r="M60" s="14"/>
      <c r="N60" s="19">
        <v>0.26400000000000001</v>
      </c>
      <c r="O60" s="19">
        <v>1.4999999999999999E-2</v>
      </c>
      <c r="P60" s="19">
        <v>0.108</v>
      </c>
      <c r="Q60" s="14"/>
      <c r="R60" s="14"/>
      <c r="S60" s="14"/>
      <c r="T60" s="14"/>
      <c r="U60" s="14"/>
      <c r="V60" s="14"/>
      <c r="W60" s="19">
        <v>2.8000000000000001E-2</v>
      </c>
      <c r="X60" s="14"/>
      <c r="Y60" s="14"/>
    </row>
    <row r="61" spans="1:25" x14ac:dyDescent="0.25">
      <c r="A61" s="1" t="s">
        <v>74</v>
      </c>
      <c r="B61" s="1" t="s">
        <v>46</v>
      </c>
      <c r="C61" s="1" t="s">
        <v>3</v>
      </c>
      <c r="D61" s="1" t="str">
        <f>IF(Tabla1[[#This Row],[MATERIA PRIMA]]="","",_xlfn.CONCAT(Tabla1[[#This Row],[MATERIA PRIMA]],"_",Tabla1[[#This Row],[PROVEEDOR]],"_",Tabla1[[#This Row],[TIPO]]))</f>
        <v>SULFATO POTASIO_PRECISAGRO_C</v>
      </c>
      <c r="E61" s="1" t="str">
        <f>IF(Tabla1[[#This Row],[MATERIA PRIMA]]="","",IF(SUM(Tabla1[[#This Row],[C]:[Na]])&gt;0,"OK","P"))</f>
        <v>OK</v>
      </c>
      <c r="F61" s="13"/>
      <c r="G61" s="13"/>
      <c r="H61" s="13"/>
      <c r="I61" s="13"/>
      <c r="J61" s="13"/>
      <c r="K61" s="13"/>
      <c r="L61" s="13"/>
      <c r="M61" s="13">
        <v>0.52</v>
      </c>
      <c r="N61" s="13"/>
      <c r="O61" s="13"/>
      <c r="P61" s="13">
        <v>0.18</v>
      </c>
      <c r="Q61" s="13"/>
      <c r="R61" s="13"/>
      <c r="S61" s="13"/>
      <c r="T61" s="13"/>
      <c r="U61" s="13"/>
      <c r="V61" s="13"/>
      <c r="W61" s="13"/>
      <c r="X61" s="13"/>
      <c r="Y61" s="13"/>
    </row>
    <row r="62" spans="1:25" x14ac:dyDescent="0.25">
      <c r="A62" s="1" t="s">
        <v>83</v>
      </c>
      <c r="B62" s="1" t="s">
        <v>78</v>
      </c>
      <c r="C62" s="1" t="s">
        <v>9</v>
      </c>
      <c r="D62" s="1" t="str">
        <f>IF(Tabla1[[#This Row],[MATERIA PRIMA]]="","",_xlfn.CONCAT(Tabla1[[#This Row],[MATERIA PRIMA]],"_",Tabla1[[#This Row],[PROVEEDOR]],"_",Tabla1[[#This Row],[TIPO]]))</f>
        <v>SULFATO ZINC_ATEQUIMICOS_P</v>
      </c>
      <c r="E62" s="1" t="str">
        <f>IF(Tabla1[[#This Row],[MATERIA PRIMA]]="","",IF(SUM(Tabla1[[#This Row],[C]:[Na]])&gt;0,"OK","P"))</f>
        <v>OK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6">
        <v>0.35</v>
      </c>
      <c r="Y62" s="14"/>
    </row>
    <row r="63" spans="1:25" x14ac:dyDescent="0.25">
      <c r="A63" s="1" t="s">
        <v>57</v>
      </c>
      <c r="B63" s="1" t="s">
        <v>58</v>
      </c>
      <c r="C63" s="1" t="s">
        <v>9</v>
      </c>
      <c r="D63" s="1" t="str">
        <f>IF(Tabla1[[#This Row],[MATERIA PRIMA]]="","",_xlfn.CONCAT(Tabla1[[#This Row],[MATERIA PRIMA]],"_",Tabla1[[#This Row],[PROVEEDOR]],"_",Tabla1[[#This Row],[TIPO]]))</f>
        <v>ULEXITA_ATEQUIMICO_P</v>
      </c>
      <c r="E63" s="1" t="str">
        <f>IF(Tabla1[[#This Row],[MATERIA PRIMA]]="","",IF(SUM(Tabla1[[#This Row],[C]:[Na]])&gt;0,"OK","P"))</f>
        <v>OK</v>
      </c>
      <c r="F63" s="13"/>
      <c r="G63" s="13"/>
      <c r="H63" s="13"/>
      <c r="I63" s="13"/>
      <c r="J63" s="13"/>
      <c r="K63" s="13"/>
      <c r="L63" s="13"/>
      <c r="M63" s="13"/>
      <c r="N63" s="13">
        <v>0.13</v>
      </c>
      <c r="O63" s="13"/>
      <c r="P63" s="13"/>
      <c r="Q63" s="13">
        <v>0.14000000000000001</v>
      </c>
      <c r="R63" s="13"/>
      <c r="S63" s="13"/>
      <c r="T63" s="13"/>
      <c r="U63" s="13"/>
      <c r="V63" s="13"/>
      <c r="W63" s="13"/>
      <c r="X63" s="13"/>
      <c r="Y63" s="13"/>
    </row>
    <row r="64" spans="1:25" x14ac:dyDescent="0.25">
      <c r="A64" s="1" t="s">
        <v>57</v>
      </c>
      <c r="B64" s="1" t="s">
        <v>27</v>
      </c>
      <c r="C64" s="1" t="s">
        <v>3</v>
      </c>
      <c r="D64" s="1" t="str">
        <f>IF(Tabla1[[#This Row],[MATERIA PRIMA]]="","",_xlfn.CONCAT(Tabla1[[#This Row],[MATERIA PRIMA]],"_",Tabla1[[#This Row],[PROVEEDOR]],"_",Tabla1[[#This Row],[TIPO]]))</f>
        <v>ULEXITA_MANUCHAR_C</v>
      </c>
      <c r="E64" s="1" t="str">
        <f>IF(Tabla1[[#This Row],[MATERIA PRIMA]]="","",IF(SUM(Tabla1[[#This Row],[C]:[Na]])&gt;0,"OK","P"))</f>
        <v>OK</v>
      </c>
      <c r="F64" s="13"/>
      <c r="G64" s="13"/>
      <c r="H64" s="13"/>
      <c r="I64" s="13"/>
      <c r="J64" s="13"/>
      <c r="K64" s="13"/>
      <c r="L64" s="13"/>
      <c r="M64" s="13"/>
      <c r="N64" s="13">
        <v>0.18</v>
      </c>
      <c r="O64" s="13"/>
      <c r="P64" s="13"/>
      <c r="Q64" s="13">
        <v>0.12</v>
      </c>
      <c r="R64" s="13"/>
      <c r="S64" s="13"/>
      <c r="T64" s="13"/>
      <c r="U64" s="13"/>
      <c r="V64" s="13"/>
      <c r="W64" s="13"/>
      <c r="X64" s="13"/>
      <c r="Y64" s="13"/>
    </row>
    <row r="65" spans="1:25" x14ac:dyDescent="0.25">
      <c r="A65" s="1" t="s">
        <v>45</v>
      </c>
      <c r="B65" s="1" t="s">
        <v>46</v>
      </c>
      <c r="C65" s="1" t="s">
        <v>36</v>
      </c>
      <c r="D65" s="1" t="str">
        <f>IF(Tabla1[[#This Row],[MATERIA PRIMA]]="","",_xlfn.CONCAT(Tabla1[[#This Row],[MATERIA PRIMA]],"_",Tabla1[[#This Row],[PROVEEDOR]],"_",Tabla1[[#This Row],[TIPO]]))</f>
        <v>UREA_PRECISAGRO_G</v>
      </c>
      <c r="E65" s="1" t="str">
        <f>IF(Tabla1[[#This Row],[MATERIA PRIMA]]="","",IF(SUM(Tabla1[[#This Row],[C]:[Na]])&gt;0,"OK","P"))</f>
        <v>OK</v>
      </c>
      <c r="F65" s="13"/>
      <c r="G65" s="13">
        <v>0.46</v>
      </c>
      <c r="H65" s="13"/>
      <c r="I65" s="13"/>
      <c r="J65" s="13"/>
      <c r="K65" s="13">
        <v>0.46</v>
      </c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</row>
    <row r="66" spans="1:25" x14ac:dyDescent="0.25">
      <c r="A66" s="1" t="s">
        <v>45</v>
      </c>
      <c r="B66" s="1" t="s">
        <v>63</v>
      </c>
      <c r="C66" s="1" t="s">
        <v>36</v>
      </c>
      <c r="D66" s="1" t="str">
        <f>IF(Tabla1[[#This Row],[MATERIA PRIMA]]="","",_xlfn.CONCAT(Tabla1[[#This Row],[MATERIA PRIMA]],"_",Tabla1[[#This Row],[PROVEEDOR]],"_",Tabla1[[#This Row],[TIPO]]))</f>
        <v>UREA_EVOAGRO_G</v>
      </c>
      <c r="E66" s="1" t="str">
        <f>IF(Tabla1[[#This Row],[MATERIA PRIMA]]="","",IF(SUM(Tabla1[[#This Row],[C]:[Na]])&gt;0,"OK","P"))</f>
        <v>OK</v>
      </c>
      <c r="F66" s="13"/>
      <c r="G66" s="13">
        <v>0.46</v>
      </c>
      <c r="H66" s="13"/>
      <c r="I66" s="13"/>
      <c r="J66" s="13"/>
      <c r="K66" s="13">
        <v>0.46</v>
      </c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</row>
    <row r="67" spans="1:25" x14ac:dyDescent="0.25">
      <c r="A67" s="1" t="s">
        <v>45</v>
      </c>
      <c r="B67" s="1" t="s">
        <v>48</v>
      </c>
      <c r="C67" s="1" t="s">
        <v>36</v>
      </c>
      <c r="D67" s="1" t="str">
        <f>IF(Tabla1[[#This Row],[MATERIA PRIMA]]="","",_xlfn.CONCAT(Tabla1[[#This Row],[MATERIA PRIMA]],"_",Tabla1[[#This Row],[PROVEEDOR]],"_",Tabla1[[#This Row],[TIPO]]))</f>
        <v>UREA_NUTRICION PLANTAS_G</v>
      </c>
      <c r="E67" s="1" t="str">
        <f>IF(Tabla1[[#This Row],[MATERIA PRIMA]]="","",IF(SUM(Tabla1[[#This Row],[C]:[Na]])&gt;0,"OK","P"))</f>
        <v>OK</v>
      </c>
      <c r="F67" s="13"/>
      <c r="G67" s="13">
        <v>0.46</v>
      </c>
      <c r="H67" s="13"/>
      <c r="I67" s="13"/>
      <c r="J67" s="13"/>
      <c r="K67" s="13">
        <v>0.46</v>
      </c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</row>
    <row r="68" spans="1:25" x14ac:dyDescent="0.25">
      <c r="A68" s="1" t="s">
        <v>45</v>
      </c>
      <c r="B68" s="1" t="s">
        <v>63</v>
      </c>
      <c r="C68" s="1" t="s">
        <v>36</v>
      </c>
      <c r="D68" s="17" t="str">
        <f>IF(Tabla1[[#This Row],[MATERIA PRIMA]]="","",_xlfn.CONCAT(Tabla1[[#This Row],[MATERIA PRIMA]],"_",Tabla1[[#This Row],[PROVEEDOR]],"_",Tabla1[[#This Row],[TIPO]]))</f>
        <v>UREA_EVOAGRO_G</v>
      </c>
      <c r="E68" s="17" t="str">
        <f>IF(Tabla1[[#This Row],[MATERIA PRIMA]]="","",IF(SUM(Tabla1[[#This Row],[C]:[Na]])&gt;0,"OK","P"))</f>
        <v>OK</v>
      </c>
      <c r="F68" s="14"/>
      <c r="G68" s="16">
        <v>0.46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x14ac:dyDescent="0.25">
      <c r="A69" s="1" t="s">
        <v>117</v>
      </c>
      <c r="B69" s="1" t="s">
        <v>118</v>
      </c>
      <c r="C69" s="1" t="s">
        <v>81</v>
      </c>
      <c r="D69" s="17" t="str">
        <f>IF(Tabla1[[#This Row],[MATERIA PRIMA]]="","",_xlfn.CONCAT(Tabla1[[#This Row],[MATERIA PRIMA]],"_",Tabla1[[#This Row],[PROVEEDOR]],"_",Tabla1[[#This Row],[TIPO]]))</f>
        <v>VINAZA_MASTERCAMPO_L</v>
      </c>
      <c r="E69" s="17" t="str">
        <f>IF(Tabla1[[#This Row],[MATERIA PRIMA]]="","",IF(SUM(Tabla1[[#This Row],[C]:[Na]])&gt;0,"OK","P"))</f>
        <v>OK</v>
      </c>
      <c r="F69" s="16">
        <v>1E-3</v>
      </c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x14ac:dyDescent="0.25">
      <c r="A70" s="1" t="s">
        <v>135</v>
      </c>
      <c r="B70" s="1" t="s">
        <v>53</v>
      </c>
      <c r="C70" s="1" t="s">
        <v>36</v>
      </c>
      <c r="D70" s="1" t="str">
        <f>IF(Tabla1[[#This Row],[MATERIA PRIMA]]="","",_xlfn.CONCAT(Tabla1[[#This Row],[MATERIA PRIMA]],"_",Tabla1[[#This Row],[PROVEEDOR]],"_",Tabla1[[#This Row],[TIPO]]))</f>
        <v>ZUELO CA_CALFERQUIM_G</v>
      </c>
      <c r="E70" s="1" t="str">
        <f>IF(Tabla1[[#This Row],[MATERIA PRIMA]]="","",IF(SUM(Tabla1[[#This Row],[C]:[Na]])&gt;0,"OK","P"))</f>
        <v>OK</v>
      </c>
      <c r="F70" s="13"/>
      <c r="G70" s="13"/>
      <c r="H70" s="13"/>
      <c r="I70" s="13"/>
      <c r="J70" s="13"/>
      <c r="K70" s="13"/>
      <c r="L70" s="13"/>
      <c r="M70" s="13">
        <v>0.03</v>
      </c>
      <c r="N70" s="13">
        <v>0.27</v>
      </c>
      <c r="O70" s="13">
        <v>0.115</v>
      </c>
      <c r="P70" s="13">
        <v>3.5000000000000003E-2</v>
      </c>
      <c r="Q70" s="13"/>
      <c r="R70" s="13"/>
      <c r="S70" s="13"/>
      <c r="T70" s="13"/>
      <c r="U70" s="13"/>
      <c r="V70" s="13"/>
      <c r="W70" s="13">
        <v>3.5000000000000003E-2</v>
      </c>
      <c r="X70" s="13"/>
      <c r="Y70" s="13"/>
    </row>
  </sheetData>
  <conditionalFormatting sqref="F1:Y1">
    <cfRule type="containsBlanks" dxfId="467" priority="3">
      <formula>LEN(TRIM(F1))=0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56DF5-CBBF-432B-99C4-4C0CB0FB7EAC}">
  <sheetPr codeName="Hoja4"/>
  <dimension ref="A1:Z13"/>
  <sheetViews>
    <sheetView workbookViewId="0">
      <selection activeCell="F31" sqref="F31"/>
    </sheetView>
  </sheetViews>
  <sheetFormatPr baseColWidth="10" defaultRowHeight="15" x14ac:dyDescent="0.25"/>
  <cols>
    <col min="1" max="1" width="6.5703125" bestFit="1" customWidth="1"/>
    <col min="2" max="2" width="10.42578125" bestFit="1" customWidth="1"/>
    <col min="3" max="3" width="12" customWidth="1"/>
    <col min="4" max="4" width="23.28515625" bestFit="1" customWidth="1"/>
    <col min="5" max="5" width="10" bestFit="1" customWidth="1"/>
    <col min="6" max="6" width="16.7109375" bestFit="1" customWidth="1"/>
  </cols>
  <sheetData>
    <row r="1" spans="1:26" ht="19.5" x14ac:dyDescent="0.25">
      <c r="A1" s="81" t="s">
        <v>95</v>
      </c>
      <c r="B1" s="81" t="s">
        <v>121</v>
      </c>
      <c r="C1" s="81" t="s">
        <v>96</v>
      </c>
      <c r="D1" s="81" t="s">
        <v>23</v>
      </c>
      <c r="E1" s="81" t="s">
        <v>41</v>
      </c>
      <c r="F1" s="81" t="s">
        <v>123</v>
      </c>
      <c r="G1" s="81" t="s">
        <v>3</v>
      </c>
      <c r="H1" s="81" t="s">
        <v>4</v>
      </c>
      <c r="I1" s="81" t="s">
        <v>5</v>
      </c>
      <c r="J1" s="81" t="s">
        <v>6</v>
      </c>
      <c r="K1" s="81" t="s">
        <v>7</v>
      </c>
      <c r="L1" s="81" t="s">
        <v>8</v>
      </c>
      <c r="M1" s="81" t="s">
        <v>9</v>
      </c>
      <c r="N1" s="81" t="s">
        <v>10</v>
      </c>
      <c r="O1" s="81" t="s">
        <v>11</v>
      </c>
      <c r="P1" s="81" t="s">
        <v>12</v>
      </c>
      <c r="Q1" s="81" t="s">
        <v>13</v>
      </c>
      <c r="R1" s="81" t="s">
        <v>14</v>
      </c>
      <c r="S1" s="81" t="s">
        <v>15</v>
      </c>
      <c r="T1" s="81" t="s">
        <v>16</v>
      </c>
      <c r="U1" s="81" t="s">
        <v>17</v>
      </c>
      <c r="V1" s="81" t="s">
        <v>18</v>
      </c>
      <c r="W1" s="81" t="s">
        <v>19</v>
      </c>
      <c r="X1" s="81" t="s">
        <v>20</v>
      </c>
      <c r="Y1" s="81" t="s">
        <v>21</v>
      </c>
      <c r="Z1" s="81" t="s">
        <v>22</v>
      </c>
    </row>
    <row r="2" spans="1:26" x14ac:dyDescent="0.25">
      <c r="A2" t="s">
        <v>114</v>
      </c>
      <c r="B2" t="s">
        <v>122</v>
      </c>
      <c r="C2">
        <v>563</v>
      </c>
      <c r="D2" t="s">
        <v>115</v>
      </c>
      <c r="E2">
        <v>10500</v>
      </c>
      <c r="F2" t="s">
        <v>113</v>
      </c>
      <c r="P2" t="s">
        <v>3</v>
      </c>
      <c r="Q2" t="s">
        <v>3</v>
      </c>
      <c r="R2" t="s">
        <v>3</v>
      </c>
      <c r="Y2" t="s">
        <v>124</v>
      </c>
    </row>
    <row r="3" spans="1:26" x14ac:dyDescent="0.25">
      <c r="A3" t="s">
        <v>127</v>
      </c>
      <c r="B3" t="s">
        <v>122</v>
      </c>
      <c r="C3">
        <v>510</v>
      </c>
      <c r="D3" t="s">
        <v>128</v>
      </c>
      <c r="E3">
        <v>4000</v>
      </c>
      <c r="F3" t="s">
        <v>113</v>
      </c>
      <c r="P3" t="s">
        <v>139</v>
      </c>
      <c r="Q3" t="s">
        <v>3</v>
      </c>
      <c r="R3" t="s">
        <v>3</v>
      </c>
      <c r="Y3" t="s">
        <v>124</v>
      </c>
    </row>
    <row r="4" spans="1:26" x14ac:dyDescent="0.25">
      <c r="A4" t="s">
        <v>140</v>
      </c>
      <c r="B4" t="s">
        <v>122</v>
      </c>
      <c r="C4">
        <v>489</v>
      </c>
      <c r="D4" t="s">
        <v>141</v>
      </c>
      <c r="E4">
        <v>7000</v>
      </c>
      <c r="F4" t="s">
        <v>113</v>
      </c>
      <c r="G4" t="s">
        <v>3</v>
      </c>
      <c r="I4" t="s">
        <v>3</v>
      </c>
      <c r="N4" t="s">
        <v>3</v>
      </c>
      <c r="O4" t="s">
        <v>3</v>
      </c>
    </row>
    <row r="5" spans="1:26" x14ac:dyDescent="0.25">
      <c r="A5" t="s">
        <v>143</v>
      </c>
      <c r="B5" t="s">
        <v>122</v>
      </c>
      <c r="C5">
        <v>602</v>
      </c>
      <c r="D5" t="s">
        <v>144</v>
      </c>
      <c r="E5">
        <v>1000</v>
      </c>
      <c r="F5" t="s">
        <v>113</v>
      </c>
      <c r="G5" t="s">
        <v>3</v>
      </c>
      <c r="I5" t="s">
        <v>3</v>
      </c>
      <c r="N5" t="s">
        <v>3</v>
      </c>
      <c r="O5" t="s">
        <v>3</v>
      </c>
    </row>
    <row r="6" spans="1:26" x14ac:dyDescent="0.25">
      <c r="A6" t="s">
        <v>146</v>
      </c>
      <c r="B6" t="s">
        <v>122</v>
      </c>
      <c r="C6">
        <v>603</v>
      </c>
      <c r="D6" t="s">
        <v>147</v>
      </c>
      <c r="E6">
        <v>2000</v>
      </c>
      <c r="F6" t="s">
        <v>113</v>
      </c>
      <c r="G6" t="s">
        <v>3</v>
      </c>
      <c r="I6" t="s">
        <v>3</v>
      </c>
      <c r="N6" t="s">
        <v>3</v>
      </c>
      <c r="O6" t="s">
        <v>3</v>
      </c>
    </row>
    <row r="7" spans="1:26" x14ac:dyDescent="0.25">
      <c r="A7" t="s">
        <v>148</v>
      </c>
      <c r="B7" t="s">
        <v>122</v>
      </c>
      <c r="C7">
        <v>841</v>
      </c>
      <c r="D7" t="s">
        <v>149</v>
      </c>
      <c r="E7">
        <v>22000</v>
      </c>
      <c r="F7" t="s">
        <v>113</v>
      </c>
      <c r="G7" t="s">
        <v>3</v>
      </c>
      <c r="I7" t="s">
        <v>3</v>
      </c>
      <c r="N7" t="s">
        <v>139</v>
      </c>
      <c r="O7" t="s">
        <v>3</v>
      </c>
      <c r="P7" t="s">
        <v>156</v>
      </c>
      <c r="R7" t="s">
        <v>3</v>
      </c>
    </row>
    <row r="8" spans="1:26" x14ac:dyDescent="0.25">
      <c r="A8" t="s">
        <v>151</v>
      </c>
      <c r="B8" t="s">
        <v>152</v>
      </c>
      <c r="C8">
        <v>65</v>
      </c>
      <c r="D8" t="s">
        <v>153</v>
      </c>
      <c r="E8">
        <v>10500</v>
      </c>
      <c r="F8" t="s">
        <v>113</v>
      </c>
      <c r="P8" t="s">
        <v>156</v>
      </c>
      <c r="Q8" t="s">
        <v>3</v>
      </c>
      <c r="R8" t="s">
        <v>156</v>
      </c>
      <c r="Y8" t="s">
        <v>124</v>
      </c>
    </row>
    <row r="9" spans="1:26" x14ac:dyDescent="0.25">
      <c r="A9" t="s">
        <v>160</v>
      </c>
      <c r="B9" t="s">
        <v>161</v>
      </c>
      <c r="C9">
        <v>679</v>
      </c>
      <c r="D9" t="s">
        <v>162</v>
      </c>
      <c r="E9">
        <v>10500</v>
      </c>
      <c r="F9" t="s">
        <v>113</v>
      </c>
      <c r="G9" t="s">
        <v>3</v>
      </c>
      <c r="N9" t="s">
        <v>3</v>
      </c>
      <c r="P9" t="s">
        <v>3</v>
      </c>
      <c r="R9" t="s">
        <v>3</v>
      </c>
    </row>
    <row r="10" spans="1:26" x14ac:dyDescent="0.25">
      <c r="A10" t="s">
        <v>170</v>
      </c>
      <c r="B10" t="s">
        <v>161</v>
      </c>
      <c r="C10">
        <v>679</v>
      </c>
      <c r="D10" t="s">
        <v>171</v>
      </c>
      <c r="E10">
        <v>10500</v>
      </c>
      <c r="F10" t="s">
        <v>113</v>
      </c>
      <c r="G10" t="s">
        <v>3</v>
      </c>
      <c r="N10" t="s">
        <v>3</v>
      </c>
      <c r="P10" t="s">
        <v>3</v>
      </c>
      <c r="R10" t="s">
        <v>3</v>
      </c>
    </row>
    <row r="11" spans="1:26" x14ac:dyDescent="0.25">
      <c r="A11" t="s">
        <v>173</v>
      </c>
      <c r="B11" t="s">
        <v>172</v>
      </c>
      <c r="C11">
        <v>679</v>
      </c>
      <c r="D11" t="s">
        <v>171</v>
      </c>
      <c r="E11">
        <v>10500</v>
      </c>
      <c r="F11" t="s">
        <v>113</v>
      </c>
      <c r="G11" t="s">
        <v>3</v>
      </c>
      <c r="N11" t="s">
        <v>3</v>
      </c>
      <c r="P11" t="s">
        <v>3</v>
      </c>
      <c r="R11" t="s">
        <v>3</v>
      </c>
    </row>
    <row r="12" spans="1:26" x14ac:dyDescent="0.25">
      <c r="A12" t="s">
        <v>174</v>
      </c>
      <c r="B12" t="s">
        <v>172</v>
      </c>
      <c r="C12">
        <v>62</v>
      </c>
      <c r="D12" t="s">
        <v>175</v>
      </c>
      <c r="E12">
        <v>10500</v>
      </c>
      <c r="F12" t="s">
        <v>113</v>
      </c>
      <c r="P12" t="s">
        <v>156</v>
      </c>
      <c r="Q12" t="s">
        <v>156</v>
      </c>
      <c r="R12" t="s">
        <v>3</v>
      </c>
      <c r="Y12" t="s">
        <v>124</v>
      </c>
    </row>
    <row r="13" spans="1:26" x14ac:dyDescent="0.25">
      <c r="A13" t="s">
        <v>178</v>
      </c>
      <c r="B13" t="s">
        <v>172</v>
      </c>
      <c r="C13">
        <v>602</v>
      </c>
      <c r="D13" t="s">
        <v>144</v>
      </c>
      <c r="E13">
        <v>1000</v>
      </c>
      <c r="F13" t="s">
        <v>113</v>
      </c>
      <c r="G13" t="s">
        <v>3</v>
      </c>
      <c r="I13" t="s">
        <v>3</v>
      </c>
      <c r="N13" t="s">
        <v>3</v>
      </c>
      <c r="O13" t="s">
        <v>3</v>
      </c>
    </row>
  </sheetData>
  <sheetProtection algorithmName="SHA-512" hashValue="JWljLzRb0uV+meSJSQ5Y6ro/mKKaobF/q0hIfZpVv2MhGioOj8sxIRuOBOa6XuaMYA+CKfL19vr760vUzqRzhA==" saltValue="GQYgQoOAaKAsJgLJE05ehA==" spinCount="100000" sheet="1" objects="1" scenarios="1"/>
  <conditionalFormatting sqref="D1:E1">
    <cfRule type="containsBlanks" dxfId="437" priority="7">
      <formula>LEN(TRIM(D1))=0</formula>
    </cfRule>
  </conditionalFormatting>
  <conditionalFormatting sqref="C1">
    <cfRule type="containsBlanks" dxfId="436" priority="6">
      <formula>LEN(TRIM(C1))=0</formula>
    </cfRule>
  </conditionalFormatting>
  <conditionalFormatting sqref="A1">
    <cfRule type="containsBlanks" dxfId="435" priority="5">
      <formula>LEN(TRIM(A1))=0</formula>
    </cfRule>
  </conditionalFormatting>
  <conditionalFormatting sqref="B1">
    <cfRule type="containsBlanks" dxfId="434" priority="4">
      <formula>LEN(TRIM(B1))=0</formula>
    </cfRule>
  </conditionalFormatting>
  <conditionalFormatting sqref="F1">
    <cfRule type="containsBlanks" dxfId="433" priority="3">
      <formula>LEN(TRIM(F1))=0</formula>
    </cfRule>
  </conditionalFormatting>
  <conditionalFormatting sqref="G1:Z1">
    <cfRule type="containsBlanks" dxfId="432" priority="2">
      <formula>LEN(TRIM(G1))=0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C00000"/>
  </sheetPr>
  <dimension ref="A1:AA32"/>
  <sheetViews>
    <sheetView tabSelected="1" zoomScaleNormal="100" workbookViewId="0">
      <pane xSplit="4" topLeftCell="E1" activePane="topRight" state="frozen"/>
      <selection activeCell="C8" sqref="C8"/>
      <selection pane="topRight" activeCell="D24" sqref="D24:F25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105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180</v>
      </c>
      <c r="B6" s="70" t="s">
        <v>172</v>
      </c>
      <c r="C6" s="54">
        <v>603</v>
      </c>
      <c r="D6" s="58" t="s">
        <v>179</v>
      </c>
      <c r="E6" s="69">
        <v>2000</v>
      </c>
      <c r="F6" s="7" t="str">
        <f>C6&amp;RIGHT("0"&amp;MID(B6,1,2),2)&amp;RIGHT("0"&amp;MID(B6,4,2),2)&amp;RIGHT(MID(B6,7,4),2)</f>
        <v>603210425</v>
      </c>
      <c r="G6" s="77">
        <f>IF(I6+N6+O6&lt;5%,"",I6+N6+O6)</f>
        <v>0.44500000000000001</v>
      </c>
      <c r="H6" s="8">
        <f t="shared" ref="H6:AA6" si="0">ROUND(($G15*H15+$G16*H16+$G17*H17+$G18*H18+$G19*H19+$G20*H20+$G21*H21+$G22*H22+$G23*H23)/100,3)</f>
        <v>0</v>
      </c>
      <c r="I6" s="8">
        <f t="shared" si="0"/>
        <v>5.8999999999999997E-2</v>
      </c>
      <c r="J6" s="8">
        <f t="shared" si="0"/>
        <v>2.4E-2</v>
      </c>
      <c r="K6" s="8">
        <f t="shared" si="0"/>
        <v>0</v>
      </c>
      <c r="L6" s="8">
        <f t="shared" si="0"/>
        <v>0</v>
      </c>
      <c r="M6" s="8">
        <f t="shared" si="0"/>
        <v>1.7000000000000001E-2</v>
      </c>
      <c r="N6" s="8">
        <f t="shared" si="0"/>
        <v>5.6000000000000001E-2</v>
      </c>
      <c r="O6" s="8">
        <f t="shared" si="0"/>
        <v>0.33</v>
      </c>
      <c r="P6" s="8">
        <f t="shared" si="0"/>
        <v>0</v>
      </c>
      <c r="Q6" s="8">
        <f t="shared" si="0"/>
        <v>0.06</v>
      </c>
      <c r="R6" s="8">
        <f t="shared" si="0"/>
        <v>2.7E-2</v>
      </c>
      <c r="S6" s="8">
        <f t="shared" si="0"/>
        <v>0</v>
      </c>
      <c r="T6" s="8">
        <f t="shared" si="0"/>
        <v>0</v>
      </c>
      <c r="U6" s="8">
        <f t="shared" si="0"/>
        <v>0</v>
      </c>
      <c r="V6" s="8">
        <f t="shared" si="0"/>
        <v>0</v>
      </c>
      <c r="W6" s="8">
        <f t="shared" si="0"/>
        <v>0</v>
      </c>
      <c r="X6" s="8">
        <f t="shared" si="0"/>
        <v>0</v>
      </c>
      <c r="Y6" s="8">
        <f t="shared" si="0"/>
        <v>0.06</v>
      </c>
      <c r="Z6" s="8">
        <f t="shared" si="0"/>
        <v>0</v>
      </c>
      <c r="AA6" s="8">
        <f t="shared" si="0"/>
        <v>0</v>
      </c>
    </row>
    <row r="7" spans="1:27" ht="19.5" x14ac:dyDescent="0.25">
      <c r="A7" s="55" t="str">
        <f>A6</f>
        <v>OP013</v>
      </c>
      <c r="B7" s="55" t="str">
        <f>B6</f>
        <v>21-04-2025</v>
      </c>
      <c r="C7" s="55">
        <f t="shared" ref="C7:E7" si="1">C6</f>
        <v>603</v>
      </c>
      <c r="D7" s="55" t="str">
        <f t="shared" si="1"/>
        <v>MFE 6-6-33+EM L1</v>
      </c>
      <c r="E7" s="55">
        <f t="shared" si="1"/>
        <v>2000</v>
      </c>
      <c r="F7" s="53" t="s">
        <v>113</v>
      </c>
      <c r="G7" s="8" t="str">
        <f>memoria_calculo!E20</f>
        <v>C</v>
      </c>
      <c r="H7" s="8" t="str">
        <f>memoria_calculo!F20</f>
        <v/>
      </c>
      <c r="I7" s="8" t="str">
        <f>memoria_calculo!G20</f>
        <v>C</v>
      </c>
      <c r="J7" s="8" t="str">
        <f>memoria_calculo!H20</f>
        <v/>
      </c>
      <c r="K7" s="8" t="str">
        <f>memoria_calculo!I20</f>
        <v/>
      </c>
      <c r="L7" s="8" t="str">
        <f>memoria_calculo!J20</f>
        <v/>
      </c>
      <c r="M7" s="8" t="str">
        <f>memoria_calculo!K20</f>
        <v/>
      </c>
      <c r="N7" s="8" t="str">
        <f>memoria_calculo!L20</f>
        <v>C</v>
      </c>
      <c r="O7" s="8" t="str">
        <f>memoria_calculo!M20</f>
        <v>C</v>
      </c>
      <c r="P7" s="8" t="str">
        <f>memoria_calculo!N20</f>
        <v/>
      </c>
      <c r="Q7" s="8" t="str">
        <f>memoria_calculo!O20</f>
        <v/>
      </c>
      <c r="R7" s="8" t="str">
        <f>memoria_calculo!P20</f>
        <v/>
      </c>
      <c r="S7" s="8" t="str">
        <f>memoria_calculo!Q20</f>
        <v/>
      </c>
      <c r="T7" s="8" t="str">
        <f>memoria_calculo!R20</f>
        <v/>
      </c>
      <c r="U7" s="8" t="str">
        <f>memoria_calculo!S20</f>
        <v/>
      </c>
      <c r="V7" s="8" t="str">
        <f>memoria_calculo!T20</f>
        <v/>
      </c>
      <c r="W7" s="8" t="str">
        <f>memoria_calculo!U20</f>
        <v/>
      </c>
      <c r="X7" s="8" t="str">
        <f>memoria_calculo!V20</f>
        <v/>
      </c>
      <c r="Y7" s="8" t="str">
        <f>memoria_calculo!W20</f>
        <v/>
      </c>
      <c r="Z7" s="8" t="str">
        <f>memoria_calculo!X20</f>
        <v/>
      </c>
      <c r="AA7" s="8" t="str">
        <f>memoria_calculo!Y20</f>
        <v/>
      </c>
    </row>
    <row r="8" spans="1:27" ht="19.5" x14ac:dyDescent="0.25">
      <c r="C8" s="88" t="s">
        <v>108</v>
      </c>
      <c r="D8" s="89"/>
      <c r="E8" s="89"/>
      <c r="F8" s="90"/>
      <c r="G8" s="8">
        <f>memoria_calculo!E15</f>
        <v>0.4</v>
      </c>
      <c r="H8" s="8" t="str">
        <f>memoria_calculo!F15</f>
        <v/>
      </c>
      <c r="I8" s="8">
        <f>memoria_calculo!G15</f>
        <v>5.1168999999999999E-2</v>
      </c>
      <c r="J8" s="8" t="str">
        <f>memoria_calculo!H15</f>
        <v/>
      </c>
      <c r="K8" s="8" t="str">
        <f>memoria_calculo!I15</f>
        <v/>
      </c>
      <c r="L8" s="8" t="str">
        <f>memoria_calculo!J15</f>
        <v/>
      </c>
      <c r="M8" s="8" t="str">
        <f>memoria_calculo!K15</f>
        <v/>
      </c>
      <c r="N8" s="8">
        <f>memoria_calculo!L15</f>
        <v>5.1168999999999999E-2</v>
      </c>
      <c r="O8" s="8">
        <f>memoria_calculo!M15</f>
        <v>0.308305</v>
      </c>
      <c r="P8" s="8" t="str">
        <f>memoria_calculo!N15</f>
        <v/>
      </c>
      <c r="Q8" s="8" t="str">
        <f>memoria_calculo!O15</f>
        <v/>
      </c>
      <c r="R8" s="8" t="str">
        <f>memoria_calculo!P15</f>
        <v/>
      </c>
      <c r="S8" s="8" t="str">
        <f>memoria_calculo!Q15</f>
        <v/>
      </c>
      <c r="T8" s="8" t="str">
        <f>memoria_calculo!R15</f>
        <v/>
      </c>
      <c r="U8" s="8" t="str">
        <f>memoria_calculo!S15</f>
        <v/>
      </c>
      <c r="V8" s="8" t="str">
        <f>memoria_calculo!T15</f>
        <v/>
      </c>
      <c r="W8" s="8" t="str">
        <f>memoria_calculo!U15</f>
        <v/>
      </c>
      <c r="X8" s="8" t="str">
        <f>memoria_calculo!V15</f>
        <v/>
      </c>
      <c r="Y8" s="8" t="str">
        <f>memoria_calculo!W15</f>
        <v/>
      </c>
      <c r="Z8" s="8" t="str">
        <f>memoria_calculo!X15</f>
        <v/>
      </c>
      <c r="AA8" s="8" t="str">
        <f>memoria_calculo!Y15</f>
        <v/>
      </c>
    </row>
    <row r="9" spans="1:27" ht="19.5" x14ac:dyDescent="0.25">
      <c r="C9" s="59" t="s">
        <v>157</v>
      </c>
      <c r="D9" s="62" t="str">
        <f>D6</f>
        <v>MFE 6-6-33+EM L1</v>
      </c>
      <c r="E9" s="60"/>
      <c r="F9" s="61"/>
      <c r="G9" s="77">
        <f>IF(I9+N9+O9=0,"",I9+N9+O9)</f>
        <v>0.45</v>
      </c>
      <c r="H9" s="8"/>
      <c r="I9" s="8">
        <v>0.06</v>
      </c>
      <c r="J9" s="8"/>
      <c r="K9" s="8"/>
      <c r="L9" s="8"/>
      <c r="M9" s="8"/>
      <c r="N9" s="8">
        <v>0.06</v>
      </c>
      <c r="O9" s="8">
        <v>0.33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f>memoria_calculo!E17</f>
        <v>0.5</v>
      </c>
      <c r="H10" s="8" t="str">
        <f>memoria_calculo!F17</f>
        <v/>
      </c>
      <c r="I10" s="8">
        <f>memoria_calculo!G17</f>
        <v>6.8831000000000003E-2</v>
      </c>
      <c r="J10" s="8" t="str">
        <f>memoria_calculo!H17</f>
        <v/>
      </c>
      <c r="K10" s="8" t="str">
        <f>memoria_calculo!I17</f>
        <v/>
      </c>
      <c r="L10" s="8" t="str">
        <f>memoria_calculo!J17</f>
        <v/>
      </c>
      <c r="M10" s="8" t="str">
        <f>memoria_calculo!K17</f>
        <v/>
      </c>
      <c r="N10" s="8">
        <f>memoria_calculo!L17</f>
        <v>6.8831000000000003E-2</v>
      </c>
      <c r="O10" s="8">
        <f>memoria_calculo!M17</f>
        <v>0.35169500000000004</v>
      </c>
      <c r="P10" s="8" t="str">
        <f>memoria_calculo!N17</f>
        <v/>
      </c>
      <c r="Q10" s="8" t="str">
        <f>memoria_calculo!O17</f>
        <v/>
      </c>
      <c r="R10" s="8" t="str">
        <f>memoria_calculo!P17</f>
        <v/>
      </c>
      <c r="S10" s="8" t="str">
        <f>memoria_calculo!Q17</f>
        <v/>
      </c>
      <c r="T10" s="8" t="str">
        <f>memoria_calculo!R17</f>
        <v/>
      </c>
      <c r="U10" s="8" t="str">
        <f>memoria_calculo!S17</f>
        <v/>
      </c>
      <c r="V10" s="8" t="str">
        <f>memoria_calculo!T17</f>
        <v/>
      </c>
      <c r="W10" s="8" t="str">
        <f>memoria_calculo!U17</f>
        <v/>
      </c>
      <c r="X10" s="8" t="str">
        <f>memoria_calculo!V17</f>
        <v/>
      </c>
      <c r="Y10" s="8" t="str">
        <f>memoria_calculo!W17</f>
        <v/>
      </c>
      <c r="Z10" s="8" t="str">
        <f>memoria_calculo!X17</f>
        <v/>
      </c>
      <c r="AA10" s="8" t="str">
        <f>memoria_calculo!Y17</f>
        <v/>
      </c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37.5</v>
      </c>
      <c r="G15" s="9">
        <f>Tabla2[[#This Row],[CANTIDAD]]/10</f>
        <v>3.75</v>
      </c>
      <c r="H15" s="10" cm="1">
        <f t="array" ref="H15">IF($E15="",0%,_xlfn.XLOOKUP($E15,Tabla1[[#All],[ID]],Tabla1[[#All],[C]]))</f>
        <v>0</v>
      </c>
      <c r="I15" s="10" cm="1">
        <f t="array" ref="I15">IF($E15="",0%,_xlfn.XLOOKUP($E15,Tabla1[[#All],[ID]],Tabla1[[#All],[N]]))</f>
        <v>0.46</v>
      </c>
      <c r="J15" s="10" cm="1">
        <f t="array" ref="J15">IF($E15="",0%,(_xlfn.XLOOKUP($E15,Tabla1[[#All],[ID]],Tabla1[[#All],[N-NH4]])))</f>
        <v>0</v>
      </c>
      <c r="K15" s="10" cm="1">
        <f t="array" ref="K15">IF($E15="",0%,(_xlfn.XLOOKUP($E15,Tabla1[[#All],[ID]],Tabla1[[#All],[N-NO3]])))</f>
        <v>0</v>
      </c>
      <c r="L15" s="10" cm="1">
        <f t="array" ref="L15">IF($E15="",0%,(_xlfn.XLOOKUP($E15,Tabla1[[#All],[ID]],Tabla1[[#All],[N-org]])))</f>
        <v>0</v>
      </c>
      <c r="M15" s="10" cm="1">
        <f t="array" ref="M15">IF($E15="",0%,(_xlfn.XLOOKUP($E15,Tabla1[[#All],[ID]],Tabla1[[#All],[N-ur]])))</f>
        <v>0.46</v>
      </c>
      <c r="N15" s="10" cm="1">
        <f t="array" ref="N15">IF($E15="",0%,(_xlfn.XLOOKUP($E15,Tabla1[[#All],[ID]],Tabla1[[#All],[P]])))</f>
        <v>0</v>
      </c>
      <c r="O15" s="10" cm="1">
        <f t="array" ref="O15">IF($E15="",0%,(_xlfn.XLOOKUP($E15,Tabla1[[#All],[ID]],Tabla1[[#All],[K]])))</f>
        <v>0</v>
      </c>
      <c r="P15" s="10" cm="1">
        <f t="array" ref="P15">IF($E15="",0%,(_xlfn.XLOOKUP($E15,Tabla1[[#All],[ID]],Tabla1[[#All],[CaO]])))</f>
        <v>0</v>
      </c>
      <c r="Q15" s="10" cm="1">
        <f t="array" ref="Q15">IF($E15="",0%,(_xlfn.XLOOKUP($E15,Tabla1[[#All],[ID]],Tabla1[[#All],[MgO]])))</f>
        <v>0</v>
      </c>
      <c r="R15" s="10" cm="1">
        <f t="array" ref="R15">IF($E15="",0%,(_xlfn.XLOOKUP($E15,Tabla1[[#All],[ID]],Tabla1[[#All],[S]])))</f>
        <v>0</v>
      </c>
      <c r="S15" s="10" cm="1">
        <f t="array" ref="S15">IF($E15="",0%,(_xlfn.XLOOKUP($E15,Tabla1[[#All],[ID]],Tabla1[[#All],[B]])))</f>
        <v>0</v>
      </c>
      <c r="T15" s="10" cm="1">
        <f t="array" ref="T15">IF($E15="",0%,(_xlfn.XLOOKUP($E15,Tabla1[[#All],[ID]],Tabla1[[#All],[Co]])))</f>
        <v>0</v>
      </c>
      <c r="U15" s="10" cm="1">
        <f t="array" ref="U15">IF($E15="",0%,(_xlfn.XLOOKUP($E15,Tabla1[[#All],[ID]],Tabla1[[#All],[Cu]])))</f>
        <v>0</v>
      </c>
      <c r="V15" s="10" cm="1">
        <f t="array" ref="V15">IF($E15="",0%,(_xlfn.XLOOKUP($E15,Tabla1[[#All],[ID]],Tabla1[[#All],[Fe]])))</f>
        <v>0</v>
      </c>
      <c r="W15" s="10" cm="1">
        <f t="array" ref="W15">IF($E15="",0%,(_xlfn.XLOOKUP($E15,Tabla1[[#All],[ID]],Tabla1[[#All],[Mn]])))</f>
        <v>0</v>
      </c>
      <c r="X15" s="10" cm="1">
        <f t="array" ref="X15">IF($E15="",0%,(_xlfn.XLOOKUP($E15,Tabla1[[#All],[ID]],Tabla1[[#All],[Mo]])))</f>
        <v>0</v>
      </c>
      <c r="Y15" s="10" cm="1">
        <f t="array" ref="Y15">IF($E15="",0%,(_xlfn.XLOOKUP($E15,Tabla1[[#All],[ID]],Tabla1[[#All],[SiO2]])))</f>
        <v>0</v>
      </c>
      <c r="Z15" s="10" cm="1">
        <f t="array" ref="Z15">IF($E15="",0%,(_xlfn.XLOOKUP($E15,Tabla1[[#All],[ID]],Tabla1[[#All],[Zn]])))</f>
        <v>0</v>
      </c>
      <c r="AA15" s="11" cm="1">
        <f t="array" ref="AA15">IF($E15="",0%,(_xlfn.XLOOKUP($E15,Tabla1[[#All],[ID]],Tabla1[[#All],[Na]])))</f>
        <v>0</v>
      </c>
    </row>
    <row r="16" spans="1:27" x14ac:dyDescent="0.25">
      <c r="D16" s="9">
        <v>32</v>
      </c>
      <c r="E16" s="9" t="s">
        <v>130</v>
      </c>
      <c r="F16" s="9">
        <v>112.5</v>
      </c>
      <c r="G16" s="9">
        <f>Tabla2[[#This Row],[CANTIDAD]]/10</f>
        <v>11.25</v>
      </c>
      <c r="H16" s="10" cm="1">
        <f t="array" ref="H16">IF($E16="",0%,_xlfn.XLOOKUP($E16,Tabla1[[#All],[ID]],Tabla1[[#All],[C]]))</f>
        <v>0</v>
      </c>
      <c r="I16" s="10" cm="1">
        <f t="array" ref="I16">IF($E16="",0%,_xlfn.XLOOKUP($E16,Tabla1[[#All],[ID]],Tabla1[[#All],[N]]))</f>
        <v>0.21</v>
      </c>
      <c r="J16" s="10" cm="1">
        <f t="array" ref="J16">IF($E16="",0%,(_xlfn.XLOOKUP($E16,Tabla1[[#All],[ID]],Tabla1[[#All],[N-NH4]])))</f>
        <v>0.21</v>
      </c>
      <c r="K16" s="10" cm="1">
        <f t="array" ref="K16">IF($E16="",0%,(_xlfn.XLOOKUP($E16,Tabla1[[#All],[ID]],Tabla1[[#All],[N-NO3]])))</f>
        <v>0</v>
      </c>
      <c r="L16" s="10" cm="1">
        <f t="array" ref="L16">IF($E16="",0%,(_xlfn.XLOOKUP($E16,Tabla1[[#All],[ID]],Tabla1[[#All],[N-org]])))</f>
        <v>0</v>
      </c>
      <c r="M16" s="10" cm="1">
        <f t="array" ref="M16">IF($E16="",0%,(_xlfn.XLOOKUP($E16,Tabla1[[#All],[ID]],Tabla1[[#All],[N-ur]])))</f>
        <v>0</v>
      </c>
      <c r="N16" s="10" cm="1">
        <f t="array" ref="N16">IF($E16="",0%,(_xlfn.XLOOKUP($E16,Tabla1[[#All],[ID]],Tabla1[[#All],[P]])))</f>
        <v>0</v>
      </c>
      <c r="O16" s="10" cm="1">
        <f t="array" ref="O16">IF($E16="",0%,(_xlfn.XLOOKUP($E16,Tabla1[[#All],[ID]],Tabla1[[#All],[K]])))</f>
        <v>0</v>
      </c>
      <c r="P16" s="10" cm="1">
        <f t="array" ref="P16">IF($E16="",0%,(_xlfn.XLOOKUP($E16,Tabla1[[#All],[ID]],Tabla1[[#All],[CaO]])))</f>
        <v>0</v>
      </c>
      <c r="Q16" s="10" cm="1">
        <f t="array" ref="Q16">IF($E16="",0%,(_xlfn.XLOOKUP($E16,Tabla1[[#All],[ID]],Tabla1[[#All],[MgO]])))</f>
        <v>0</v>
      </c>
      <c r="R16" s="10" cm="1">
        <f t="array" ref="R16">IF($E16="",0%,(_xlfn.XLOOKUP($E16,Tabla1[[#All],[ID]],Tabla1[[#All],[S]])))</f>
        <v>0.24</v>
      </c>
      <c r="S16" s="10" cm="1">
        <f t="array" ref="S16">IF($E16="",0%,(_xlfn.XLOOKUP($E16,Tabla1[[#All],[ID]],Tabla1[[#All],[B]])))</f>
        <v>0</v>
      </c>
      <c r="T16" s="10" cm="1">
        <f t="array" ref="T16">IF($E16="",0%,(_xlfn.XLOOKUP($E16,Tabla1[[#All],[ID]],Tabla1[[#All],[Co]])))</f>
        <v>0</v>
      </c>
      <c r="U16" s="10" cm="1">
        <f t="array" ref="U16">IF($E16="",0%,(_xlfn.XLOOKUP($E16,Tabla1[[#All],[ID]],Tabla1[[#All],[Cu]])))</f>
        <v>0</v>
      </c>
      <c r="V16" s="10" cm="1">
        <f t="array" ref="V16">IF($E16="",0%,(_xlfn.XLOOKUP($E16,Tabla1[[#All],[ID]],Tabla1[[#All],[Fe]])))</f>
        <v>0</v>
      </c>
      <c r="W16" s="10" cm="1">
        <f t="array" ref="W16">IF($E16="",0%,(_xlfn.XLOOKUP($E16,Tabla1[[#All],[ID]],Tabla1[[#All],[Mn]])))</f>
        <v>0</v>
      </c>
      <c r="X16" s="10" cm="1">
        <f t="array" ref="X16">IF($E16="",0%,(_xlfn.XLOOKUP($E16,Tabla1[[#All],[ID]],Tabla1[[#All],[Mo]])))</f>
        <v>0</v>
      </c>
      <c r="Y16" s="10" cm="1">
        <f t="array" ref="Y16">IF($E16="",0%,(_xlfn.XLOOKUP($E16,Tabla1[[#All],[ID]],Tabla1[[#All],[SiO2]])))</f>
        <v>0</v>
      </c>
      <c r="Z16" s="10" cm="1">
        <f t="array" ref="Z16">IF($E16="",0%,(_xlfn.XLOOKUP($E16,Tabla1[[#All],[ID]],Tabla1[[#All],[Zn]])))</f>
        <v>0</v>
      </c>
      <c r="AA16" s="11" cm="1">
        <f t="array" ref="AA16">IF($E16="",0%,(_xlfn.XLOOKUP($E16,Tabla1[[#All],[ID]],Tabla1[[#All],[Na]])))</f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f>Tabla2[[#This Row],[CANTIDAD]]/10</f>
        <v>20</v>
      </c>
      <c r="H17" s="10" cm="1">
        <f t="array" ref="H17">IF($E17="",0%,_xlfn.XLOOKUP($E17,Tabla1[[#All],[ID]],Tabla1[[#All],[C]]))</f>
        <v>0</v>
      </c>
      <c r="I17" s="10" cm="1">
        <f t="array" ref="I17">IF($E17="",0%,_xlfn.XLOOKUP($E17,Tabla1[[#All],[ID]],Tabla1[[#All],[N]]))</f>
        <v>0</v>
      </c>
      <c r="J17" s="10" cm="1">
        <f t="array" ref="J17">IF($E17="",0%,(_xlfn.XLOOKUP($E17,Tabla1[[#All],[ID]],Tabla1[[#All],[N-NH4]])))</f>
        <v>0</v>
      </c>
      <c r="K17" s="10" cm="1">
        <f t="array" ref="K17">IF($E17="",0%,(_xlfn.XLOOKUP($E17,Tabla1[[#All],[ID]],Tabla1[[#All],[N-NO3]])))</f>
        <v>0</v>
      </c>
      <c r="L17" s="10" cm="1">
        <f t="array" ref="L17">IF($E17="",0%,(_xlfn.XLOOKUP($E17,Tabla1[[#All],[ID]],Tabla1[[#All],[N-org]])))</f>
        <v>0</v>
      </c>
      <c r="M17" s="10" cm="1">
        <f t="array" ref="M17">IF($E17="",0%,(_xlfn.XLOOKUP($E17,Tabla1[[#All],[ID]],Tabla1[[#All],[N-ur]])))</f>
        <v>0</v>
      </c>
      <c r="N17" s="10" cm="1">
        <f t="array" ref="N17">IF($E17="",0%,(_xlfn.XLOOKUP($E17,Tabla1[[#All],[ID]],Tabla1[[#All],[P]])))</f>
        <v>0.05</v>
      </c>
      <c r="O17" s="10" cm="1">
        <f t="array" ref="O17">IF($E17="",0%,(_xlfn.XLOOKUP($E17,Tabla1[[#All],[ID]],Tabla1[[#All],[K]])))</f>
        <v>0</v>
      </c>
      <c r="P17" s="10" cm="1">
        <f t="array" ref="P17">IF($E17="",0%,(_xlfn.XLOOKUP($E17,Tabla1[[#All],[ID]],Tabla1[[#All],[CaO]])))</f>
        <v>0</v>
      </c>
      <c r="Q17" s="10" cm="1">
        <f t="array" ref="Q17">IF($E17="",0%,(_xlfn.XLOOKUP($E17,Tabla1[[#All],[ID]],Tabla1[[#All],[MgO]])))</f>
        <v>0.3</v>
      </c>
      <c r="R17" s="10" cm="1">
        <f t="array" ref="R17">IF($E17="",0%,(_xlfn.XLOOKUP($E17,Tabla1[[#All],[ID]],Tabla1[[#All],[S]])))</f>
        <v>0</v>
      </c>
      <c r="S17" s="10" cm="1">
        <f t="array" ref="S17">IF($E17="",0%,(_xlfn.XLOOKUP($E17,Tabla1[[#All],[ID]],Tabla1[[#All],[B]])))</f>
        <v>0</v>
      </c>
      <c r="T17" s="10" cm="1">
        <f t="array" ref="T17">IF($E17="",0%,(_xlfn.XLOOKUP($E17,Tabla1[[#All],[ID]],Tabla1[[#All],[Co]])))</f>
        <v>0</v>
      </c>
      <c r="U17" s="10" cm="1">
        <f t="array" ref="U17">IF($E17="",0%,(_xlfn.XLOOKUP($E17,Tabla1[[#All],[ID]],Tabla1[[#All],[Cu]])))</f>
        <v>0</v>
      </c>
      <c r="V17" s="10" cm="1">
        <f t="array" ref="V17">IF($E17="",0%,(_xlfn.XLOOKUP($E17,Tabla1[[#All],[ID]],Tabla1[[#All],[Fe]])))</f>
        <v>0</v>
      </c>
      <c r="W17" s="10" cm="1">
        <f t="array" ref="W17">IF($E17="",0%,(_xlfn.XLOOKUP($E17,Tabla1[[#All],[ID]],Tabla1[[#All],[Mn]])))</f>
        <v>0</v>
      </c>
      <c r="X17" s="10" cm="1">
        <f t="array" ref="X17">IF($E17="",0%,(_xlfn.XLOOKUP($E17,Tabla1[[#All],[ID]],Tabla1[[#All],[Mo]])))</f>
        <v>0</v>
      </c>
      <c r="Y17" s="10" cm="1">
        <f t="array" ref="Y17">IF($E17="",0%,(_xlfn.XLOOKUP($E17,Tabla1[[#All],[ID]],Tabla1[[#All],[SiO2]])))</f>
        <v>0.3</v>
      </c>
      <c r="Z17" s="10" cm="1">
        <f t="array" ref="Z17">IF($E17="",0%,(_xlfn.XLOOKUP($E17,Tabla1[[#All],[ID]],Tabla1[[#All],[Zn]])))</f>
        <v>0</v>
      </c>
      <c r="AA17" s="11" cm="1">
        <f t="array" ref="AA17">IF($E17="",0%,(_xlfn.XLOOKUP($E17,Tabla1[[#All],[ID]],Tabla1[[#All],[Na]])))</f>
        <v>0</v>
      </c>
    </row>
    <row r="18" spans="3:27" x14ac:dyDescent="0.25">
      <c r="D18" s="9">
        <v>97</v>
      </c>
      <c r="E18" s="9" t="s">
        <v>142</v>
      </c>
      <c r="F18" s="9">
        <v>100</v>
      </c>
      <c r="G18" s="9">
        <f>Tabla2[[#This Row],[CANTIDAD]]/10</f>
        <v>10</v>
      </c>
      <c r="H18" s="10">
        <v>0</v>
      </c>
      <c r="I18" s="10" cm="1">
        <f t="array" ref="I18">IF($E18="",0%,_xlfn.XLOOKUP($E18,Tabla1[[#All],[ID]],Tabla1[[#All],[N]]))</f>
        <v>0.18</v>
      </c>
      <c r="J18" s="10">
        <v>0</v>
      </c>
      <c r="K18" s="10">
        <v>0</v>
      </c>
      <c r="L18" s="10">
        <v>0</v>
      </c>
      <c r="M18" s="10" cm="1">
        <f t="array" ref="M18">IF($E18="",0%,(_xlfn.XLOOKUP($E18,Tabla1[[#All],[ID]],Tabla1[[#All],[N-ur]])))</f>
        <v>0</v>
      </c>
      <c r="N18" s="10" cm="1">
        <f t="array" ref="N18">IF($E18="",0%,(_xlfn.XLOOKUP($E18,Tabla1[[#All],[ID]],Tabla1[[#All],[P]])))</f>
        <v>0.46</v>
      </c>
      <c r="O18" s="10" cm="1">
        <f t="array" ref="O18">IF($E18="",0%,(_xlfn.XLOOKUP($E18,Tabla1[[#All],[ID]],Tabla1[[#All],[K]])))</f>
        <v>0</v>
      </c>
      <c r="P18" s="10" cm="1">
        <f t="array" ref="P18">IF($E18="",0%,(_xlfn.XLOOKUP($E18,Tabla1[[#All],[ID]],Tabla1[[#All],[CaO]])))</f>
        <v>0</v>
      </c>
      <c r="Q18" s="10" cm="1">
        <f t="array" ref="Q18">IF($E18="",0%,(_xlfn.XLOOKUP($E18,Tabla1[[#All],[ID]],Tabla1[[#All],[MgO]])))</f>
        <v>0</v>
      </c>
      <c r="R18" s="10" cm="1">
        <f t="array" ref="R18">IF($E18="",0%,(_xlfn.XLOOKUP($E18,Tabla1[[#All],[ID]],Tabla1[[#All],[S]])))</f>
        <v>0</v>
      </c>
      <c r="S18" s="10" cm="1">
        <f t="array" ref="S18">IF($E18="",0%,(_xlfn.XLOOKUP($E18,Tabla1[[#All],[ID]],Tabla1[[#All],[B]])))</f>
        <v>0</v>
      </c>
      <c r="T18" s="10" cm="1">
        <f t="array" ref="T18">IF($E18="",0%,(_xlfn.XLOOKUP($E18,Tabla1[[#All],[ID]],Tabla1[[#All],[Co]])))</f>
        <v>0</v>
      </c>
      <c r="U18" s="10" cm="1">
        <f t="array" ref="U18">IF($E18="",0%,(_xlfn.XLOOKUP($E18,Tabla1[[#All],[ID]],Tabla1[[#All],[Cu]])))</f>
        <v>0</v>
      </c>
      <c r="V18" s="10" cm="1">
        <f t="array" ref="V18">IF($E18="",0%,(_xlfn.XLOOKUP($E18,Tabla1[[#All],[ID]],Tabla1[[#All],[Fe]])))</f>
        <v>0</v>
      </c>
      <c r="W18" s="10" cm="1">
        <f t="array" ref="W18">IF($E18="",0%,(_xlfn.XLOOKUP($E18,Tabla1[[#All],[ID]],Tabla1[[#All],[Mn]])))</f>
        <v>0</v>
      </c>
      <c r="X18" s="10" cm="1">
        <f t="array" ref="X18">IF($E18="",0%,(_xlfn.XLOOKUP($E18,Tabla1[[#All],[ID]],Tabla1[[#All],[Mo]])))</f>
        <v>0</v>
      </c>
      <c r="Y18" s="10" cm="1">
        <f t="array" ref="Y18">IF($E18="",0%,(_xlfn.XLOOKUP($E18,Tabla1[[#All],[ID]],Tabla1[[#All],[SiO2]])))</f>
        <v>0</v>
      </c>
      <c r="Z18" s="10" cm="1">
        <f t="array" ref="Z18">IF($E18="",0%,(_xlfn.XLOOKUP($E18,Tabla1[[#All],[ID]],Tabla1[[#All],[Zn]])))</f>
        <v>0</v>
      </c>
      <c r="AA18" s="11" cm="1">
        <f t="array" ref="AA18">IF($E18="",0%,(_xlfn.XLOOKUP($E18,Tabla1[[#All],[ID]],Tabla1[[#All],[Na]])))</f>
        <v>0</v>
      </c>
    </row>
    <row r="19" spans="3:27" x14ac:dyDescent="0.25">
      <c r="D19" s="9">
        <v>144</v>
      </c>
      <c r="E19" s="9" t="s">
        <v>133</v>
      </c>
      <c r="F19" s="9">
        <v>550</v>
      </c>
      <c r="G19" s="9">
        <f>Tabla2[[#This Row],[CANTIDAD]]/10</f>
        <v>55</v>
      </c>
      <c r="H19" s="10" cm="1">
        <f t="array" ref="H19">IF($E19="",0%,_xlfn.XLOOKUP($E19,Tabla1[[#All],[ID]],Tabla1[[#All],[C]]))</f>
        <v>0</v>
      </c>
      <c r="I19" s="10" cm="1">
        <f t="array" ref="I19">IF($E19="",0%,_xlfn.XLOOKUP($E19,Tabla1[[#All],[ID]],Tabla1[[#All],[N]]))</f>
        <v>0</v>
      </c>
      <c r="J19" s="10" cm="1">
        <f t="array" ref="J19">IF($E19="",0%,(_xlfn.XLOOKUP($E19,Tabla1[[#All],[ID]],Tabla1[[#All],[N-NH4]])))</f>
        <v>0</v>
      </c>
      <c r="K19" s="10" cm="1">
        <f t="array" ref="K19">IF($E19="",0%,(_xlfn.XLOOKUP($E19,Tabla1[[#All],[ID]],Tabla1[[#All],[N-NO3]])))</f>
        <v>0</v>
      </c>
      <c r="L19" s="10" cm="1">
        <f t="array" ref="L19">IF($E19="",0%,(_xlfn.XLOOKUP($E19,Tabla1[[#All],[ID]],Tabla1[[#All],[N-org]])))</f>
        <v>0</v>
      </c>
      <c r="M19" s="10" cm="1">
        <f t="array" ref="M19">IF($E19="",0%,(_xlfn.XLOOKUP($E19,Tabla1[[#All],[ID]],Tabla1[[#All],[N-ur]])))</f>
        <v>0</v>
      </c>
      <c r="N19" s="10" cm="1">
        <f t="array" ref="N19">IF($E19="",0%,(_xlfn.XLOOKUP($E19,Tabla1[[#All],[ID]],Tabla1[[#All],[P]])))</f>
        <v>0</v>
      </c>
      <c r="O19" s="10" cm="1">
        <f t="array" ref="O19">IF($E19="",0%,(_xlfn.XLOOKUP($E19,Tabla1[[#All],[ID]],Tabla1[[#All],[K]])))</f>
        <v>0.6</v>
      </c>
      <c r="P19" s="10" cm="1">
        <f t="array" ref="P19">IF($E19="",0%,(_xlfn.XLOOKUP($E19,Tabla1[[#All],[ID]],Tabla1[[#All],[CaO]])))</f>
        <v>0</v>
      </c>
      <c r="Q19" s="10" cm="1">
        <f t="array" ref="Q19">IF($E19="",0%,(_xlfn.XLOOKUP($E19,Tabla1[[#All],[ID]],Tabla1[[#All],[MgO]])))</f>
        <v>0</v>
      </c>
      <c r="R19" s="10" cm="1">
        <f t="array" ref="R19">IF($E19="",0%,(_xlfn.XLOOKUP($E19,Tabla1[[#All],[ID]],Tabla1[[#All],[S]])))</f>
        <v>0</v>
      </c>
      <c r="S19" s="10" cm="1">
        <f t="array" ref="S19">IF($E19="",0%,(_xlfn.XLOOKUP($E19,Tabla1[[#All],[ID]],Tabla1[[#All],[B]])))</f>
        <v>0</v>
      </c>
      <c r="T19" s="10" cm="1">
        <f t="array" ref="T19">IF($E19="",0%,(_xlfn.XLOOKUP($E19,Tabla1[[#All],[ID]],Tabla1[[#All],[Co]])))</f>
        <v>0</v>
      </c>
      <c r="U19" s="10" cm="1">
        <f t="array" ref="U19">IF($E19="",0%,(_xlfn.XLOOKUP($E19,Tabla1[[#All],[ID]],Tabla1[[#All],[Cu]])))</f>
        <v>0</v>
      </c>
      <c r="V19" s="10" cm="1">
        <f t="array" ref="V19">IF($E19="",0%,(_xlfn.XLOOKUP($E19,Tabla1[[#All],[ID]],Tabla1[[#All],[Fe]])))</f>
        <v>0</v>
      </c>
      <c r="W19" s="10" cm="1">
        <f t="array" ref="W19">IF($E19="",0%,(_xlfn.XLOOKUP($E19,Tabla1[[#All],[ID]],Tabla1[[#All],[Mn]])))</f>
        <v>0</v>
      </c>
      <c r="X19" s="10" cm="1">
        <f t="array" ref="X19">IF($E19="",0%,(_xlfn.XLOOKUP($E19,Tabla1[[#All],[ID]],Tabla1[[#All],[Mo]])))</f>
        <v>0</v>
      </c>
      <c r="Y19" s="10" cm="1">
        <f t="array" ref="Y19">IF($E19="",0%,(_xlfn.XLOOKUP($E19,Tabla1[[#All],[ID]],Tabla1[[#All],[SiO2]])))</f>
        <v>0</v>
      </c>
      <c r="Z19" s="10" cm="1">
        <f t="array" ref="Z19">IF($E19="",0%,(_xlfn.XLOOKUP($E19,Tabla1[[#All],[ID]],Tabla1[[#All],[Zn]])))</f>
        <v>0</v>
      </c>
      <c r="AA19" s="11" cm="1">
        <f t="array" ref="AA19">IF($E19="",0%,(_xlfn.XLOOKUP($E19,Tabla1[[#All],[ID]],Tabla1[[#All],[Na]])))</f>
        <v>0</v>
      </c>
    </row>
    <row r="20" spans="3:27" x14ac:dyDescent="0.25">
      <c r="D20" s="9"/>
      <c r="E20" s="9"/>
      <c r="F20" s="9"/>
      <c r="G20" s="9">
        <f>Tabla2[[#This Row],[CANTIDAD]]/10</f>
        <v>0</v>
      </c>
      <c r="H20" s="10" cm="1">
        <f t="array" ref="H20">IF($E20="",0%,_xlfn.XLOOKUP($E20,Tabla1[[#All],[ID]],Tabla1[[#All],[C]]))</f>
        <v>0</v>
      </c>
      <c r="I20" s="10" cm="1">
        <f t="array" ref="I20">IF($E20="",0%,_xlfn.XLOOKUP($E20,Tabla1[[#All],[ID]],Tabla1[[#All],[N]]))</f>
        <v>0</v>
      </c>
      <c r="J20" s="10" cm="1">
        <f t="array" ref="J20">IF($E20="",0%,(_xlfn.XLOOKUP($E20,Tabla1[[#All],[ID]],Tabla1[[#All],[N-NH4]])))</f>
        <v>0</v>
      </c>
      <c r="K20" s="10" cm="1">
        <f t="array" ref="K20">IF($E20="",0%,(_xlfn.XLOOKUP($E20,Tabla1[[#All],[ID]],Tabla1[[#All],[N-NO3]])))</f>
        <v>0</v>
      </c>
      <c r="L20" s="10" cm="1">
        <f t="array" ref="L20">IF($E20="",0%,(_xlfn.XLOOKUP($E20,Tabla1[[#All],[ID]],Tabla1[[#All],[N-org]])))</f>
        <v>0</v>
      </c>
      <c r="M20" s="10" cm="1">
        <f t="array" ref="M20">IF($E20="",0%,(_xlfn.XLOOKUP($E20,Tabla1[[#All],[ID]],Tabla1[[#All],[N-ur]])))</f>
        <v>0</v>
      </c>
      <c r="N20" s="10" cm="1">
        <f t="array" ref="N20">IF($E20="",0%,(_xlfn.XLOOKUP($E20,Tabla1[[#All],[ID]],Tabla1[[#All],[P]])))</f>
        <v>0</v>
      </c>
      <c r="O20" s="10" cm="1">
        <f t="array" ref="O20">IF($E20="",0%,(_xlfn.XLOOKUP($E20,Tabla1[[#All],[ID]],Tabla1[[#All],[K]])))</f>
        <v>0</v>
      </c>
      <c r="P20" s="10" cm="1">
        <f t="array" ref="P20">IF($E20="",0%,(_xlfn.XLOOKUP($E20,Tabla1[[#All],[ID]],Tabla1[[#All],[CaO]])))</f>
        <v>0</v>
      </c>
      <c r="Q20" s="10" cm="1">
        <f t="array" ref="Q20">IF($E20="",0%,(_xlfn.XLOOKUP($E20,Tabla1[[#All],[ID]],Tabla1[[#All],[MgO]])))</f>
        <v>0</v>
      </c>
      <c r="R20" s="10" cm="1">
        <f t="array" ref="R20">IF($E20="",0%,(_xlfn.XLOOKUP($E20,Tabla1[[#All],[ID]],Tabla1[[#All],[S]])))</f>
        <v>0</v>
      </c>
      <c r="S20" s="10" cm="1">
        <f t="array" ref="S20">IF($E20="",0%,(_xlfn.XLOOKUP($E20,Tabla1[[#All],[ID]],Tabla1[[#All],[B]])))</f>
        <v>0</v>
      </c>
      <c r="T20" s="10" cm="1">
        <f t="array" ref="T20">IF($E20="",0%,(_xlfn.XLOOKUP($E20,Tabla1[[#All],[ID]],Tabla1[[#All],[Co]])))</f>
        <v>0</v>
      </c>
      <c r="U20" s="10" cm="1">
        <f t="array" ref="U20">IF($E20="",0%,(_xlfn.XLOOKUP($E20,Tabla1[[#All],[ID]],Tabla1[[#All],[Cu]])))</f>
        <v>0</v>
      </c>
      <c r="V20" s="10" cm="1">
        <f t="array" ref="V20">IF($E20="",0%,(_xlfn.XLOOKUP($E20,Tabla1[[#All],[ID]],Tabla1[[#All],[Fe]])))</f>
        <v>0</v>
      </c>
      <c r="W20" s="10" cm="1">
        <f t="array" ref="W20">IF($E20="",0%,(_xlfn.XLOOKUP($E20,Tabla1[[#All],[ID]],Tabla1[[#All],[Mn]])))</f>
        <v>0</v>
      </c>
      <c r="X20" s="10" cm="1">
        <f t="array" ref="X20">IF($E20="",0%,(_xlfn.XLOOKUP($E20,Tabla1[[#All],[ID]],Tabla1[[#All],[Mo]])))</f>
        <v>0</v>
      </c>
      <c r="Y20" s="10" cm="1">
        <f t="array" ref="Y20">IF($E20="",0%,(_xlfn.XLOOKUP($E20,Tabla1[[#All],[ID]],Tabla1[[#All],[SiO2]])))</f>
        <v>0</v>
      </c>
      <c r="Z20" s="10" cm="1">
        <f t="array" ref="Z20">IF($E20="",0%,(_xlfn.XLOOKUP($E20,Tabla1[[#All],[ID]],Tabla1[[#All],[Zn]])))</f>
        <v>0</v>
      </c>
      <c r="AA20" s="11" cm="1">
        <f t="array" ref="AA20">IF($E20="",0%,(_xlfn.XLOOKUP($E20,Tabla1[[#All],[ID]],Tabla1[[#All],[Na]])))</f>
        <v>0</v>
      </c>
    </row>
    <row r="21" spans="3:27" x14ac:dyDescent="0.25">
      <c r="D21" s="9"/>
      <c r="E21" s="9"/>
      <c r="F21" s="9"/>
      <c r="G21" s="9">
        <f>Tabla2[[#This Row],[CANTIDAD]]/10</f>
        <v>0</v>
      </c>
      <c r="H21" s="10" cm="1">
        <f t="array" ref="H21">IF($E21="",0%,_xlfn.XLOOKUP($E21,Tabla1[[#All],[ID]],Tabla1[[#All],[C]]))</f>
        <v>0</v>
      </c>
      <c r="I21" s="10" cm="1">
        <f t="array" ref="I21">IF($E21="",0%,_xlfn.XLOOKUP($E21,Tabla1[[#All],[ID]],Tabla1[[#All],[N]]))</f>
        <v>0</v>
      </c>
      <c r="J21" s="10" cm="1">
        <f t="array" ref="J21">IF($E21="",0%,(_xlfn.XLOOKUP($E21,Tabla1[[#All],[ID]],Tabla1[[#All],[N-NH4]])))</f>
        <v>0</v>
      </c>
      <c r="K21" s="10" cm="1">
        <f t="array" ref="K21">IF($E21="",0%,(_xlfn.XLOOKUP($E21,Tabla1[[#All],[ID]],Tabla1[[#All],[N-NO3]])))</f>
        <v>0</v>
      </c>
      <c r="L21" s="10" cm="1">
        <f t="array" ref="L21">IF($E21="",0%,(_xlfn.XLOOKUP($E21,Tabla1[[#All],[ID]],Tabla1[[#All],[N-org]])))</f>
        <v>0</v>
      </c>
      <c r="M21" s="10" cm="1">
        <f t="array" ref="M21">IF($E21="",0%,(_xlfn.XLOOKUP($E21,Tabla1[[#All],[ID]],Tabla1[[#All],[N-ur]])))</f>
        <v>0</v>
      </c>
      <c r="N21" s="10" cm="1">
        <f t="array" ref="N21">IF($E21="",0%,(_xlfn.XLOOKUP($E21,Tabla1[[#All],[ID]],Tabla1[[#All],[P]])))</f>
        <v>0</v>
      </c>
      <c r="O21" s="10" cm="1">
        <f t="array" ref="O21">IF($E21="",0%,(_xlfn.XLOOKUP($E21,Tabla1[[#All],[ID]],Tabla1[[#All],[K]])))</f>
        <v>0</v>
      </c>
      <c r="P21" s="10" cm="1">
        <f t="array" ref="P21">IF($E21="",0%,(_xlfn.XLOOKUP($E21,Tabla1[[#All],[ID]],Tabla1[[#All],[CaO]])))</f>
        <v>0</v>
      </c>
      <c r="Q21" s="10" cm="1">
        <f t="array" ref="Q21">IF($E21="",0%,(_xlfn.XLOOKUP($E21,Tabla1[[#All],[ID]],Tabla1[[#All],[MgO]])))</f>
        <v>0</v>
      </c>
      <c r="R21" s="10" cm="1">
        <f t="array" ref="R21">IF($E21="",0%,(_xlfn.XLOOKUP($E21,Tabla1[[#All],[ID]],Tabla1[[#All],[S]])))</f>
        <v>0</v>
      </c>
      <c r="S21" s="10" cm="1">
        <f t="array" ref="S21">IF($E21="",0%,(_xlfn.XLOOKUP($E21,Tabla1[[#All],[ID]],Tabla1[[#All],[B]])))</f>
        <v>0</v>
      </c>
      <c r="T21" s="10" cm="1">
        <f t="array" ref="T21">IF($E21="",0%,(_xlfn.XLOOKUP($E21,Tabla1[[#All],[ID]],Tabla1[[#All],[Co]])))</f>
        <v>0</v>
      </c>
      <c r="U21" s="10" cm="1">
        <f t="array" ref="U21">IF($E21="",0%,(_xlfn.XLOOKUP($E21,Tabla1[[#All],[ID]],Tabla1[[#All],[Cu]])))</f>
        <v>0</v>
      </c>
      <c r="V21" s="10" cm="1">
        <f t="array" ref="V21">IF($E21="",0%,(_xlfn.XLOOKUP($E21,Tabla1[[#All],[ID]],Tabla1[[#All],[Fe]])))</f>
        <v>0</v>
      </c>
      <c r="W21" s="10" cm="1">
        <f t="array" ref="W21">IF($E21="",0%,(_xlfn.XLOOKUP($E21,Tabla1[[#All],[ID]],Tabla1[[#All],[Mn]])))</f>
        <v>0</v>
      </c>
      <c r="X21" s="10" cm="1">
        <f t="array" ref="X21">IF($E21="",0%,(_xlfn.XLOOKUP($E21,Tabla1[[#All],[ID]],Tabla1[[#All],[Mo]])))</f>
        <v>0</v>
      </c>
      <c r="Y21" s="10" cm="1">
        <f t="array" ref="Y21">IF($E21="",0%,(_xlfn.XLOOKUP($E21,Tabla1[[#All],[ID]],Tabla1[[#All],[SiO2]])))</f>
        <v>0</v>
      </c>
      <c r="Z21" s="10" cm="1">
        <f t="array" ref="Z21">IF($E21="",0%,(_xlfn.XLOOKUP($E21,Tabla1[[#All],[ID]],Tabla1[[#All],[Zn]])))</f>
        <v>0</v>
      </c>
      <c r="AA21" s="11" cm="1">
        <f t="array" ref="AA21">IF($E21="",0%,(_xlfn.XLOOKUP($E21,Tabla1[[#All],[ID]],Tabla1[[#All],[Na]])))</f>
        <v>0</v>
      </c>
    </row>
    <row r="22" spans="3:27" x14ac:dyDescent="0.25">
      <c r="D22" s="9"/>
      <c r="E22" s="9"/>
      <c r="F22" s="9"/>
      <c r="G22" s="9">
        <f>Tabla2[[#This Row],[CANTIDAD]]/10</f>
        <v>0</v>
      </c>
      <c r="H22" s="10" cm="1">
        <f t="array" ref="H22">IF($E22="",0%,_xlfn.XLOOKUP($E22,Tabla1[[#All],[ID]],Tabla1[[#All],[C]]))</f>
        <v>0</v>
      </c>
      <c r="I22" s="10" cm="1">
        <f t="array" ref="I22">IF($E22="",0%,_xlfn.XLOOKUP($E22,Tabla1[[#All],[ID]],Tabla1[[#All],[N]]))</f>
        <v>0</v>
      </c>
      <c r="J22" s="10" cm="1">
        <f t="array" ref="J22">IF($E22="",0%,(_xlfn.XLOOKUP($E22,Tabla1[[#All],[ID]],Tabla1[[#All],[N-NH4]])))</f>
        <v>0</v>
      </c>
      <c r="K22" s="10" cm="1">
        <f t="array" ref="K22">IF($E22="",0%,(_xlfn.XLOOKUP($E22,Tabla1[[#All],[ID]],Tabla1[[#All],[N-NO3]])))</f>
        <v>0</v>
      </c>
      <c r="L22" s="10" cm="1">
        <f t="array" ref="L22">IF($E22="",0%,(_xlfn.XLOOKUP($E22,Tabla1[[#All],[ID]],Tabla1[[#All],[N-org]])))</f>
        <v>0</v>
      </c>
      <c r="M22" s="10" cm="1">
        <f t="array" ref="M22">IF($E22="",0%,(_xlfn.XLOOKUP($E22,Tabla1[[#All],[ID]],Tabla1[[#All],[N-ur]])))</f>
        <v>0</v>
      </c>
      <c r="N22" s="10" cm="1">
        <f t="array" ref="N22">IF($E22="",0%,(_xlfn.XLOOKUP($E22,Tabla1[[#All],[ID]],Tabla1[[#All],[P]])))</f>
        <v>0</v>
      </c>
      <c r="O22" s="10" cm="1">
        <f t="array" ref="O22">IF($E22="",0%,(_xlfn.XLOOKUP($E22,Tabla1[[#All],[ID]],Tabla1[[#All],[K]])))</f>
        <v>0</v>
      </c>
      <c r="P22" s="10" cm="1">
        <f t="array" ref="P22">IF($E22="",0%,(_xlfn.XLOOKUP($E22,Tabla1[[#All],[ID]],Tabla1[[#All],[CaO]])))</f>
        <v>0</v>
      </c>
      <c r="Q22" s="10" cm="1">
        <f t="array" ref="Q22">IF($E22="",0%,(_xlfn.XLOOKUP($E22,Tabla1[[#All],[ID]],Tabla1[[#All],[MgO]])))</f>
        <v>0</v>
      </c>
      <c r="R22" s="10" cm="1">
        <f t="array" ref="R22">IF($E22="",0%,(_xlfn.XLOOKUP($E22,Tabla1[[#All],[ID]],Tabla1[[#All],[S]])))</f>
        <v>0</v>
      </c>
      <c r="S22" s="10" cm="1">
        <f t="array" ref="S22">IF($E22="",0%,(_xlfn.XLOOKUP($E22,Tabla1[[#All],[ID]],Tabla1[[#All],[B]])))</f>
        <v>0</v>
      </c>
      <c r="T22" s="10" cm="1">
        <f t="array" ref="T22">IF($E22="",0%,(_xlfn.XLOOKUP($E22,Tabla1[[#All],[ID]],Tabla1[[#All],[Co]])))</f>
        <v>0</v>
      </c>
      <c r="U22" s="10" cm="1">
        <f t="array" ref="U22">IF($E22="",0%,(_xlfn.XLOOKUP($E22,Tabla1[[#All],[ID]],Tabla1[[#All],[Cu]])))</f>
        <v>0</v>
      </c>
      <c r="V22" s="10" cm="1">
        <f t="array" ref="V22">IF($E22="",0%,(_xlfn.XLOOKUP($E22,Tabla1[[#All],[ID]],Tabla1[[#All],[Fe]])))</f>
        <v>0</v>
      </c>
      <c r="W22" s="10" cm="1">
        <f t="array" ref="W22">IF($E22="",0%,(_xlfn.XLOOKUP($E22,Tabla1[[#All],[ID]],Tabla1[[#All],[Mn]])))</f>
        <v>0</v>
      </c>
      <c r="X22" s="10" cm="1">
        <f t="array" ref="X22">IF($E22="",0%,(_xlfn.XLOOKUP($E22,Tabla1[[#All],[ID]],Tabla1[[#All],[Mo]])))</f>
        <v>0</v>
      </c>
      <c r="Y22" s="10" cm="1">
        <f t="array" ref="Y22">IF($E22="",0%,(_xlfn.XLOOKUP($E22,Tabla1[[#All],[ID]],Tabla1[[#All],[SiO2]])))</f>
        <v>0</v>
      </c>
      <c r="Z22" s="10" cm="1">
        <f t="array" ref="Z22">IF($E22="",0%,(_xlfn.XLOOKUP($E22,Tabla1[[#All],[ID]],Tabla1[[#All],[Zn]])))</f>
        <v>0</v>
      </c>
      <c r="AA22" s="11" cm="1">
        <f t="array" ref="AA22">IF($E22="",0%,(_xlfn.XLOOKUP($E22,Tabla1[[#All],[ID]],Tabla1[[#All],[Na]])))</f>
        <v>0</v>
      </c>
    </row>
    <row r="23" spans="3:27" x14ac:dyDescent="0.25">
      <c r="D23" s="9"/>
      <c r="E23" s="9"/>
      <c r="F23" s="80"/>
      <c r="G23" s="9">
        <f>Tabla2[[#This Row],[CANTIDAD]]/10</f>
        <v>0</v>
      </c>
      <c r="H23" s="10" cm="1">
        <f t="array" ref="H23">IF($E23="",0%,_xlfn.XLOOKUP($E23,Tabla1[[#All],[ID]],Tabla1[[#All],[C]]))</f>
        <v>0</v>
      </c>
      <c r="I23" s="10" cm="1">
        <f t="array" ref="I23">IF($E23="",0%,_xlfn.XLOOKUP($E23,Tabla1[[#All],[ID]],Tabla1[[#All],[N]]))</f>
        <v>0</v>
      </c>
      <c r="J23" s="10" cm="1">
        <f t="array" ref="J23">IF($E23="",0%,(_xlfn.XLOOKUP($E23,Tabla1[[#All],[ID]],Tabla1[[#All],[N-NH4]])))</f>
        <v>0</v>
      </c>
      <c r="K23" s="10" cm="1">
        <f t="array" ref="K23">IF($E23="",0%,(_xlfn.XLOOKUP($E23,Tabla1[[#All],[ID]],Tabla1[[#All],[N-NO3]])))</f>
        <v>0</v>
      </c>
      <c r="L23" s="10" cm="1">
        <f t="array" ref="L23">IF($E23="",0%,(_xlfn.XLOOKUP($E23,Tabla1[[#All],[ID]],Tabla1[[#All],[N-org]])))</f>
        <v>0</v>
      </c>
      <c r="M23" s="10" cm="1">
        <f t="array" ref="M23">IF($E23="",0%,(_xlfn.XLOOKUP($E23,Tabla1[[#All],[ID]],Tabla1[[#All],[N-ur]])))</f>
        <v>0</v>
      </c>
      <c r="N23" s="10" cm="1">
        <f t="array" ref="N23">IF($E23="",0%,(_xlfn.XLOOKUP($E23,Tabla1[[#All],[ID]],Tabla1[[#All],[P]])))</f>
        <v>0</v>
      </c>
      <c r="O23" s="10" cm="1">
        <f t="array" ref="O23">IF($E23="",0%,(_xlfn.XLOOKUP($E23,Tabla1[[#All],[ID]],Tabla1[[#All],[K]])))</f>
        <v>0</v>
      </c>
      <c r="P23" s="10" cm="1">
        <f t="array" ref="P23">IF($E23="",0%,(_xlfn.XLOOKUP($E23,Tabla1[[#All],[ID]],Tabla1[[#All],[CaO]])))</f>
        <v>0</v>
      </c>
      <c r="Q23" s="10" cm="1">
        <f t="array" ref="Q23">IF($E23="",0%,(_xlfn.XLOOKUP($E23,Tabla1[[#All],[ID]],Tabla1[[#All],[MgO]])))</f>
        <v>0</v>
      </c>
      <c r="R23" s="10" cm="1">
        <f t="array" ref="R23">IF($E23="",0%,(_xlfn.XLOOKUP($E23,Tabla1[[#All],[ID]],Tabla1[[#All],[S]])))</f>
        <v>0</v>
      </c>
      <c r="S23" s="10" cm="1">
        <f t="array" ref="S23">IF($E23="",0%,(_xlfn.XLOOKUP($E23,Tabla1[[#All],[ID]],Tabla1[[#All],[B]])))</f>
        <v>0</v>
      </c>
      <c r="T23" s="10" cm="1">
        <f t="array" ref="T23">IF($E23="",0%,(_xlfn.XLOOKUP($E23,Tabla1[[#All],[ID]],Tabla1[[#All],[Co]])))</f>
        <v>0</v>
      </c>
      <c r="U23" s="10" cm="1">
        <f t="array" ref="U23">IF($E23="",0%,(_xlfn.XLOOKUP($E23,Tabla1[[#All],[ID]],Tabla1[[#All],[Cu]])))</f>
        <v>0</v>
      </c>
      <c r="V23" s="10" cm="1">
        <f t="array" ref="V23">IF($E23="",0%,(_xlfn.XLOOKUP($E23,Tabla1[[#All],[ID]],Tabla1[[#All],[Fe]])))</f>
        <v>0</v>
      </c>
      <c r="W23" s="10" cm="1">
        <f t="array" ref="W23">IF($E23="",0%,(_xlfn.XLOOKUP($E23,Tabla1[[#All],[ID]],Tabla1[[#All],[Mn]])))</f>
        <v>0</v>
      </c>
      <c r="X23" s="10" cm="1">
        <f t="array" ref="X23">IF($E23="",0%,(_xlfn.XLOOKUP($E23,Tabla1[[#All],[ID]],Tabla1[[#All],[Mo]])))</f>
        <v>0</v>
      </c>
      <c r="Y23" s="10" cm="1">
        <f t="array" ref="Y23">IF($E23="",0%,(_xlfn.XLOOKUP($E23,Tabla1[[#All],[ID]],Tabla1[[#All],[SiO2]])))</f>
        <v>0</v>
      </c>
      <c r="Z23" s="10" cm="1">
        <f t="array" ref="Z23">IF($E23="",0%,(_xlfn.XLOOKUP($E23,Tabla1[[#All],[ID]],Tabla1[[#All],[Zn]])))</f>
        <v>0</v>
      </c>
      <c r="AA23" s="11" cm="1">
        <f t="array" ref="AA23">IF($E23="",0%,(_xlfn.XLOOKUP($E23,Tabla1[[#All],[ID]],Tabla1[[#All],[Na]])))</f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450</v>
      </c>
      <c r="E26" s="9" t="s">
        <v>134</v>
      </c>
      <c r="F26" s="9">
        <v>0.25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mergeCells count="4">
    <mergeCell ref="D24:F25"/>
    <mergeCell ref="D1:E2"/>
    <mergeCell ref="C8:F8"/>
    <mergeCell ref="C10:F10"/>
  </mergeCells>
  <conditionalFormatting sqref="C8:C10 H6:AA6 E14:G14">
    <cfRule type="containsBlanks" dxfId="428" priority="400">
      <formula>LEN(TRIM(C6))=0</formula>
    </cfRule>
  </conditionalFormatting>
  <conditionalFormatting sqref="H15:AA23 H6:AA6">
    <cfRule type="cellIs" dxfId="427" priority="398" operator="equal">
      <formula>0</formula>
    </cfRule>
  </conditionalFormatting>
  <conditionalFormatting sqref="G15:G23">
    <cfRule type="cellIs" dxfId="426" priority="396" operator="equal">
      <formula>0</formula>
    </cfRule>
    <cfRule type="containsBlanks" dxfId="425" priority="397">
      <formula>LEN(TRIM(G15))=0</formula>
    </cfRule>
  </conditionalFormatting>
  <conditionalFormatting sqref="H5:AA5">
    <cfRule type="containsBlanks" dxfId="424" priority="395">
      <formula>LEN(TRIM(H5))=0</formula>
    </cfRule>
  </conditionalFormatting>
  <conditionalFormatting sqref="G5">
    <cfRule type="containsBlanks" dxfId="423" priority="394">
      <formula>LEN(TRIM(G5))=0</formula>
    </cfRule>
  </conditionalFormatting>
  <conditionalFormatting sqref="F6:G6">
    <cfRule type="containsBlanks" dxfId="422" priority="393">
      <formula>LEN(TRIM(F6))=0</formula>
    </cfRule>
  </conditionalFormatting>
  <conditionalFormatting sqref="H14:AA14">
    <cfRule type="containsBlanks" dxfId="421" priority="392">
      <formula>LEN(TRIM(H14))=0</formula>
    </cfRule>
  </conditionalFormatting>
  <conditionalFormatting sqref="D5">
    <cfRule type="containsBlanks" dxfId="420" priority="347">
      <formula>LEN(TRIM(D5))=0</formula>
    </cfRule>
  </conditionalFormatting>
  <conditionalFormatting sqref="C5">
    <cfRule type="containsBlanks" dxfId="419" priority="96">
      <formula>LEN(TRIM(C5))=0</formula>
    </cfRule>
  </conditionalFormatting>
  <conditionalFormatting sqref="D14">
    <cfRule type="containsBlanks" dxfId="418" priority="93">
      <formula>LEN(TRIM(D14))=0</formula>
    </cfRule>
  </conditionalFormatting>
  <conditionalFormatting sqref="G8:AA8 G10:AA10">
    <cfRule type="containsBlanks" dxfId="417" priority="40">
      <formula>LEN(TRIM(G8))=0</formula>
    </cfRule>
  </conditionalFormatting>
  <conditionalFormatting sqref="G8:AA8 G10:AA10">
    <cfRule type="cellIs" dxfId="416" priority="39" operator="equal">
      <formula>0</formula>
    </cfRule>
  </conditionalFormatting>
  <conditionalFormatting sqref="G7:AA7">
    <cfRule type="containsBlanks" dxfId="415" priority="36">
      <formula>LEN(TRIM(G7))=0</formula>
    </cfRule>
  </conditionalFormatting>
  <conditionalFormatting sqref="G7:AA7">
    <cfRule type="cellIs" dxfId="414" priority="35" operator="equal">
      <formula>0</formula>
    </cfRule>
  </conditionalFormatting>
  <conditionalFormatting sqref="A5">
    <cfRule type="containsBlanks" dxfId="413" priority="28">
      <formula>LEN(TRIM(A5))=0</formula>
    </cfRule>
  </conditionalFormatting>
  <conditionalFormatting sqref="F7">
    <cfRule type="containsBlanks" dxfId="412" priority="31">
      <formula>LEN(TRIM(F7))=0</formula>
    </cfRule>
  </conditionalFormatting>
  <conditionalFormatting sqref="B5">
    <cfRule type="containsBlanks" dxfId="411" priority="24">
      <formula>LEN(TRIM(B5))=0</formula>
    </cfRule>
  </conditionalFormatting>
  <conditionalFormatting sqref="A7:E7">
    <cfRule type="containsBlanks" dxfId="410" priority="21">
      <formula>LEN(TRIM(A7))=0</formula>
    </cfRule>
  </conditionalFormatting>
  <conditionalFormatting sqref="H9:AA9">
    <cfRule type="containsBlanks" dxfId="409" priority="11">
      <formula>LEN(TRIM(H9))=0</formula>
    </cfRule>
  </conditionalFormatting>
  <conditionalFormatting sqref="G9">
    <cfRule type="containsBlanks" dxfId="408" priority="12">
      <formula>LEN(TRIM(G9))=0</formula>
    </cfRule>
  </conditionalFormatting>
  <conditionalFormatting sqref="H9:AA9">
    <cfRule type="cellIs" dxfId="407" priority="10" operator="equal">
      <formula>0</formula>
    </cfRule>
  </conditionalFormatting>
  <conditionalFormatting sqref="D6">
    <cfRule type="containsBlanks" dxfId="406" priority="4">
      <formula>LEN(TRIM(D6))=0</formula>
    </cfRule>
  </conditionalFormatting>
  <conditionalFormatting sqref="C6">
    <cfRule type="containsBlanks" dxfId="405" priority="3">
      <formula>LEN(TRIM(C6))=0</formula>
    </cfRule>
  </conditionalFormatting>
  <conditionalFormatting sqref="E5">
    <cfRule type="containsBlanks" dxfId="404" priority="7">
      <formula>LEN(TRIM(E5))=0</formula>
    </cfRule>
  </conditionalFormatting>
  <conditionalFormatting sqref="F5">
    <cfRule type="containsBlanks" dxfId="403" priority="6">
      <formula>LEN(TRIM(F5))=0</formula>
    </cfRule>
  </conditionalFormatting>
  <conditionalFormatting sqref="E6">
    <cfRule type="containsBlanks" dxfId="402" priority="5">
      <formula>LEN(TRIM(E6))=0</formula>
    </cfRule>
  </conditionalFormatting>
  <conditionalFormatting sqref="A6">
    <cfRule type="containsBlanks" dxfId="401" priority="2">
      <formula>LEN(TRIM(A6))=0</formula>
    </cfRule>
  </conditionalFormatting>
  <conditionalFormatting sqref="B6">
    <cfRule type="containsBlanks" dxfId="400" priority="1">
      <formula>LEN(TRIM(B6))=0</formula>
    </cfRule>
  </conditionalFormatting>
  <dataValidations count="1">
    <dataValidation type="list" allowBlank="1" showInputMessage="1" showErrorMessage="1" sqref="E15:E23 E26:E27" xr:uid="{FCC0F3C7-45DC-4C23-B7A0-E2CFD4411432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uardarYRegistrarVerificacion">
                <anchor moveWithCells="1">
                  <from>
                    <xdr:col>3</xdr:col>
                    <xdr:colOff>495300</xdr:colOff>
                    <xdr:row>28</xdr:row>
                    <xdr:rowOff>142875</xdr:rowOff>
                  </from>
                  <to>
                    <xdr:col>3</xdr:col>
                    <xdr:colOff>1619250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B026C-132A-4232-A96D-F6E526212E0D}">
  <sheetPr codeName="Hoja3">
    <tabColor theme="1" tint="4.9989318521683403E-2"/>
  </sheetPr>
  <dimension ref="A3:Y43"/>
  <sheetViews>
    <sheetView workbookViewId="0">
      <selection activeCell="E6" sqref="E6"/>
    </sheetView>
  </sheetViews>
  <sheetFormatPr baseColWidth="10" defaultRowHeight="15" x14ac:dyDescent="0.25"/>
  <cols>
    <col min="2" max="2" width="63.140625" bestFit="1" customWidth="1"/>
    <col min="6" max="6" width="11.85546875" bestFit="1" customWidth="1"/>
  </cols>
  <sheetData>
    <row r="3" spans="1:25" ht="15.75" thickBot="1" x14ac:dyDescent="0.3"/>
    <row r="4" spans="1:25" x14ac:dyDescent="0.25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4"/>
    </row>
    <row r="5" spans="1:25" x14ac:dyDescent="0.25">
      <c r="A5" s="35" t="s">
        <v>95</v>
      </c>
      <c r="B5" s="36" t="s">
        <v>121</v>
      </c>
      <c r="C5" s="36" t="s">
        <v>96</v>
      </c>
      <c r="D5" s="36" t="s">
        <v>41</v>
      </c>
      <c r="E5" s="36" t="s">
        <v>159</v>
      </c>
      <c r="F5" s="36" t="s">
        <v>3</v>
      </c>
      <c r="G5" s="36" t="s">
        <v>4</v>
      </c>
      <c r="H5" s="36" t="s">
        <v>5</v>
      </c>
      <c r="I5" s="36" t="s">
        <v>6</v>
      </c>
      <c r="J5" s="36" t="s">
        <v>7</v>
      </c>
      <c r="K5" s="36" t="s">
        <v>8</v>
      </c>
      <c r="L5" s="36" t="s">
        <v>9</v>
      </c>
      <c r="M5" s="36" t="s">
        <v>10</v>
      </c>
      <c r="N5" s="36" t="s">
        <v>11</v>
      </c>
      <c r="O5" s="36" t="s">
        <v>12</v>
      </c>
      <c r="P5" s="36" t="s">
        <v>13</v>
      </c>
      <c r="Q5" s="36" t="s">
        <v>14</v>
      </c>
      <c r="R5" s="36" t="s">
        <v>15</v>
      </c>
      <c r="S5" s="36" t="s">
        <v>16</v>
      </c>
      <c r="T5" s="36" t="s">
        <v>17</v>
      </c>
      <c r="U5" s="36" t="s">
        <v>18</v>
      </c>
      <c r="V5" s="36" t="s">
        <v>19</v>
      </c>
      <c r="W5" s="36" t="s">
        <v>20</v>
      </c>
      <c r="X5" s="36" t="s">
        <v>21</v>
      </c>
      <c r="Y5" s="37" t="s">
        <v>22</v>
      </c>
    </row>
    <row r="6" spans="1:25" ht="15.75" thickBot="1" x14ac:dyDescent="0.3">
      <c r="A6" s="38" t="str">
        <f>IF('Verificación de Formulación'!A6="","",'Verificación de Formulación'!A6)</f>
        <v>OP013</v>
      </c>
      <c r="B6" s="39" t="str">
        <f>IF('Verificación de Formulación'!B6="","",'Verificación de Formulación'!B6)</f>
        <v>21-04-2025</v>
      </c>
      <c r="C6" s="39">
        <f>IF('Verificación de Formulación'!C6="","",'Verificación de Formulación'!C6)</f>
        <v>603</v>
      </c>
      <c r="D6" s="39" t="str">
        <f>IF('Verificación de Formulación'!F6="","",'Verificación de Formulación'!F6)</f>
        <v>603210425</v>
      </c>
      <c r="E6" s="40">
        <f>IF('Verificación de Formulación'!G6=0,"",'Verificación de Formulación'!G6)</f>
        <v>0.44500000000000001</v>
      </c>
      <c r="F6" s="40" t="str">
        <f>IF('Verificación de Formulación'!H6=0,"",'Verificación de Formulación'!H6)</f>
        <v/>
      </c>
      <c r="G6" s="40">
        <f>IF('Verificación de Formulación'!I6=0,"",'Verificación de Formulación'!I6)</f>
        <v>5.8999999999999997E-2</v>
      </c>
      <c r="H6" s="40">
        <f>IF('Verificación de Formulación'!J6=0,"",'Verificación de Formulación'!J6)</f>
        <v>2.4E-2</v>
      </c>
      <c r="I6" s="40" t="str">
        <f>IF('Verificación de Formulación'!K6=0,"",'Verificación de Formulación'!K6)</f>
        <v/>
      </c>
      <c r="J6" s="40" t="str">
        <f>IF('Verificación de Formulación'!L6=0,"",'Verificación de Formulación'!L6)</f>
        <v/>
      </c>
      <c r="K6" s="40">
        <f>IF('Verificación de Formulación'!M6=0,"",'Verificación de Formulación'!M6)</f>
        <v>1.7000000000000001E-2</v>
      </c>
      <c r="L6" s="40">
        <f>IF('Verificación de Formulación'!N6=0,"",'Verificación de Formulación'!N6)</f>
        <v>5.6000000000000001E-2</v>
      </c>
      <c r="M6" s="40">
        <f>IF('Verificación de Formulación'!O6=0,"",'Verificación de Formulación'!O6)</f>
        <v>0.33</v>
      </c>
      <c r="N6" s="40" t="str">
        <f>IF('Verificación de Formulación'!P6=0,"",'Verificación de Formulación'!P6)</f>
        <v/>
      </c>
      <c r="O6" s="40">
        <f>IF('Verificación de Formulación'!Q6=0,"",'Verificación de Formulación'!Q6)</f>
        <v>0.06</v>
      </c>
      <c r="P6" s="40">
        <f>IF('Verificación de Formulación'!R6=0,"",'Verificación de Formulación'!R6)</f>
        <v>2.7E-2</v>
      </c>
      <c r="Q6" s="40" t="str">
        <f>IF('Verificación de Formulación'!S6=0,"",'Verificación de Formulación'!S6)</f>
        <v/>
      </c>
      <c r="R6" s="40" t="str">
        <f>IF('Verificación de Formulación'!T6=0,"",'Verificación de Formulación'!T6)</f>
        <v/>
      </c>
      <c r="S6" s="40" t="str">
        <f>IF('Verificación de Formulación'!U6=0,"",'Verificación de Formulación'!U6)</f>
        <v/>
      </c>
      <c r="T6" s="40" t="str">
        <f>IF('Verificación de Formulación'!V6=0,"",'Verificación de Formulación'!V6)</f>
        <v/>
      </c>
      <c r="U6" s="40" t="str">
        <f>IF('Verificación de Formulación'!W6=0,"",'Verificación de Formulación'!W6)</f>
        <v/>
      </c>
      <c r="V6" s="40" t="str">
        <f>IF('Verificación de Formulación'!X6=0,"",'Verificación de Formulación'!X6)</f>
        <v/>
      </c>
      <c r="W6" s="40">
        <f>IF('Verificación de Formulación'!Y6=0,"",'Verificación de Formulación'!Y6)</f>
        <v>0.06</v>
      </c>
      <c r="X6" s="40" t="str">
        <f>IF('Verificación de Formulación'!Z6=0,"",'Verificación de Formulación'!Z6)</f>
        <v/>
      </c>
      <c r="Y6" s="41" t="str">
        <f>IF('Verificación de Formulación'!AA6=0,"",'Verificación de Formulación'!AA6)</f>
        <v/>
      </c>
    </row>
    <row r="7" spans="1:25" ht="15.75" thickBot="1" x14ac:dyDescent="0.3"/>
    <row r="8" spans="1:25" ht="20.25" x14ac:dyDescent="0.45">
      <c r="A8" s="24"/>
      <c r="B8" s="25" t="s">
        <v>97</v>
      </c>
      <c r="C8" s="25"/>
      <c r="D8" s="25"/>
      <c r="E8" s="25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3"/>
    </row>
    <row r="9" spans="1:25" x14ac:dyDescent="0.25">
      <c r="A9" s="27"/>
      <c r="B9" s="28" t="s">
        <v>158</v>
      </c>
      <c r="C9" s="28"/>
      <c r="D9" s="28"/>
      <c r="E9" s="28"/>
      <c r="F9" s="44"/>
      <c r="G9" s="44">
        <f>IF('Verificación de Formulación'!I9=0,"",((-0.0005*100*100*'Verificación de Formulación'!I$9*'Verificación de Formulación'!I$9+0.0413*100*'Verificación de Formulación'!I$9+0.6533)/100))</f>
        <v>8.8310000000000003E-3</v>
      </c>
      <c r="H9" s="44"/>
      <c r="I9" s="44"/>
      <c r="J9" s="44"/>
      <c r="K9" s="44"/>
      <c r="L9" s="44">
        <f>IF('Verificación de Formulación'!N9=0,"",((-0.0005*100*100*'Verificación de Formulación'!N$9*'Verificación de Formulación'!N$9+0.0413*100*'Verificación de Formulación'!N$9+0.6533)/100))</f>
        <v>8.8310000000000003E-3</v>
      </c>
      <c r="M9" s="44">
        <f>IF('Verificación de Formulación'!O9=0,"",((-0.0007*10000*'Verificación de Formulación'!O$9*'Verificación de Formulación'!O$9+0.0769*100*'Verificación de Formulación'!O$9+0.3941)/100))</f>
        <v>2.1694999999999999E-2</v>
      </c>
      <c r="N9" s="44" t="str">
        <f>N10</f>
        <v/>
      </c>
      <c r="O9" s="44" t="str">
        <f>O10</f>
        <v/>
      </c>
      <c r="P9" s="44" t="str">
        <f>P10</f>
        <v/>
      </c>
      <c r="Q9" s="44"/>
      <c r="R9" s="44"/>
      <c r="S9" s="44"/>
      <c r="T9" s="44"/>
      <c r="U9" s="44"/>
      <c r="V9" s="44"/>
      <c r="W9" s="44"/>
      <c r="X9" s="44"/>
      <c r="Y9" s="45"/>
    </row>
    <row r="10" spans="1:25" ht="17.25" x14ac:dyDescent="0.3">
      <c r="A10" s="27"/>
      <c r="B10" s="28" t="s">
        <v>98</v>
      </c>
      <c r="C10" s="28"/>
      <c r="D10" s="28"/>
      <c r="E10" s="28"/>
      <c r="F10" s="44"/>
      <c r="G10" s="44" t="str">
        <f>IF('Verificación de Formulación'!I9=0,"",IF(OR('Verificación de Formulación'!I9&lt;4.001%,'Verificación de Formulación'!I9&gt;32.001%),"SI","NO"))</f>
        <v>NO</v>
      </c>
      <c r="H10" s="44"/>
      <c r="I10" s="44"/>
      <c r="J10" s="44"/>
      <c r="K10" s="44"/>
      <c r="L10" s="44" t="str">
        <f>IF('Verificación de Formulación'!N9=0,"",IF(OR('Verificación de Formulación'!N9&lt;4.001%,'Verificación de Formulación'!N9&gt;32.001%),"SI","NO"))</f>
        <v>NO</v>
      </c>
      <c r="M10" s="44" t="str">
        <f>IF('Verificación de Formulación'!O9=0,"",IF(OR('Verificación de Formulación'!O9&lt;4.001%,'Verificación de Formulación'!O9&gt;32.001%),"SI","NO"))</f>
        <v>SI</v>
      </c>
      <c r="N10" s="44" t="str">
        <f>IF('Verificación de Formulación'!P9=0,"",((0.42+0.105*100*'Verificación de Formulación'!P$9)/100))</f>
        <v/>
      </c>
      <c r="O10" s="44" t="str">
        <f>IF('Verificación de Formulación'!Q9=0,"",((0.5+0.125*100*'Verificación de Formulación'!Q$9)/100))</f>
        <v/>
      </c>
      <c r="P10" s="44" t="str">
        <f>IF('Verificación de Formulación'!R9=0,"",((0.3+0.075*100*'Verificación de Formulación'!R$9)/100))</f>
        <v/>
      </c>
      <c r="Q10" s="44" t="str">
        <f>IF('Verificación de Formulación'!S9=0,"",((0.005+0.25*100*'Verificación de Formulación'!S$9)/100))</f>
        <v/>
      </c>
      <c r="R10" s="44" t="str">
        <f>IF('Verificación de Formulación'!T9=0,"",((0.000125+0.375*100*'Verificación de Formulación'!T$9)/100))</f>
        <v/>
      </c>
      <c r="S10" s="44" t="str">
        <f>IF('Verificación de Formulación'!U9=0,"",((0.015+0.3*100*'Verificación de Formulación'!U$9)/100))</f>
        <v/>
      </c>
      <c r="T10" s="44" t="str">
        <f>IF('Verificación de Formulación'!V9=0,"",((0.015+0.3*100*'Verificación de Formulación'!V$9)/100))</f>
        <v/>
      </c>
      <c r="U10" s="44" t="str">
        <f>IF('Verificación de Formulación'!W9=0,"",((0.015+0.3*100*'Verificación de Formulación'!W$9)/100))</f>
        <v/>
      </c>
      <c r="V10" s="44" t="str">
        <f>IF('Verificación de Formulación'!X9=0,"",((0.000125+0.375*100*'Verificación de Formulación'!X$9)/100))</f>
        <v/>
      </c>
      <c r="W10" s="44"/>
      <c r="X10" s="44" t="str">
        <f>IF('Verificación de Formulación'!Z9=0,"",((0.015+0.3*100*'Verificación de Formulación'!Z$9)/100))</f>
        <v/>
      </c>
      <c r="Y10" s="45" t="str">
        <f>IF('Verificación de Formulación'!AA9=0,"",((0.015+0.3*100*'Verificación de Formulación'!AA$9)/100))</f>
        <v/>
      </c>
    </row>
    <row r="11" spans="1:25" ht="17.25" x14ac:dyDescent="0.3">
      <c r="A11" s="27"/>
      <c r="B11" s="28" t="s">
        <v>99</v>
      </c>
      <c r="C11" s="28"/>
      <c r="D11" s="28"/>
      <c r="E11" s="28"/>
      <c r="F11" s="44"/>
      <c r="G11" s="44"/>
      <c r="H11" s="44"/>
      <c r="I11" s="44"/>
      <c r="J11" s="44"/>
      <c r="K11" s="44"/>
      <c r="L11" s="44"/>
      <c r="M11" s="44"/>
      <c r="N11" s="44" t="str">
        <f>IF('Verificación de Formulación'!P9=0,"",IF(OR(N10&gt;'Verificación de Formulación'!P9/2,N10&gt;1.501%),"SI","NO"))</f>
        <v/>
      </c>
      <c r="O11" s="44" t="str">
        <f>IF('Verificación de Formulación'!Q6=0,"",IF(OR(O10&gt;'Verificación de Formulación'!Q6/2,O10&gt;1.501%),"SI","NO"))</f>
        <v>SI</v>
      </c>
      <c r="P11" s="44" t="str">
        <f>IF('Verificación de Formulación'!R6=0,"",IF(OR(P10&gt;'Verificación de Formulación'!R6/2,P10&gt;1.501%),"SI","NO"))</f>
        <v>SI</v>
      </c>
      <c r="Q11" s="44" t="str">
        <f>IF('Verificación de Formulación'!S6=0,"",IF(OR(Q10&gt;'Verificación de Formulación'!S6/2,Q10&gt;1.501%),"SI","NO"))</f>
        <v/>
      </c>
      <c r="R11" s="44" t="str">
        <f>IF('Verificación de Formulación'!T6=0,"",IF(OR(R10&gt;'Verificación de Formulación'!T6/2,R10&gt;1.501%),"SI","NO"))</f>
        <v/>
      </c>
      <c r="S11" s="44" t="str">
        <f>IF('Verificación de Formulación'!U6=0,"",IF(OR(S10&gt;'Verificación de Formulación'!U6/2,S10&gt;1.501%),"SI","NO"))</f>
        <v/>
      </c>
      <c r="T11" s="44" t="str">
        <f>IF('Verificación de Formulación'!V6=0,"",IF(OR(T10&gt;'Verificación de Formulación'!V6/2,T10&gt;1.501%),"SI","NO"))</f>
        <v/>
      </c>
      <c r="U11" s="44" t="str">
        <f>IF('Verificación de Formulación'!W6=0,"",IF(OR(U10&gt;'Verificación de Formulación'!W6/2,U10&gt;1.501%),"SI","NO"))</f>
        <v/>
      </c>
      <c r="V11" s="44" t="str">
        <f>IF('Verificación de Formulación'!X6=0,"",IF(OR(V10&gt;'Verificación de Formulación'!X6/2,V10&gt;1.501%),"SI","NO"))</f>
        <v/>
      </c>
      <c r="W11" s="44"/>
      <c r="X11" s="44" t="str">
        <f>IF('Verificación de Formulación'!Z6=0,"",IF(OR(X10&gt;'Verificación de Formulación'!Z6/2,X10&gt;1.501%),"SI","NO"))</f>
        <v/>
      </c>
      <c r="Y11" s="45" t="str">
        <f>IF('Verificación de Formulación'!AA6=0,"",IF(OR(Y10&gt;'Verificación de Formulación'!AA6/2,Y10&gt;1.501%),"SI","NO"))</f>
        <v/>
      </c>
    </row>
    <row r="12" spans="1:25" x14ac:dyDescent="0.25">
      <c r="A12" s="27"/>
      <c r="B12" s="28" t="s">
        <v>100</v>
      </c>
      <c r="C12" s="28"/>
      <c r="D12" s="28"/>
      <c r="E12" s="28"/>
      <c r="F12" s="44"/>
      <c r="G12" s="44">
        <f>IF('Verificación de Formulación'!I9=0,"",IF(G10="NO",G9,IF('Verificación de Formulación'!I9&lt;4%,0.81%,1.46%)))</f>
        <v>8.8310000000000003E-3</v>
      </c>
      <c r="H12" s="44"/>
      <c r="I12" s="44"/>
      <c r="J12" s="44"/>
      <c r="K12" s="44"/>
      <c r="L12" s="44">
        <f>IF('Verificación de Formulación'!N9=0,"",IF(L10="NO",L9,IF('Verificación de Formulación'!N9&lt;4%,0.81%,1.46%)))</f>
        <v>8.8310000000000003E-3</v>
      </c>
      <c r="M12" s="44">
        <f>IF('Verificación de Formulación'!O9=0,"",IF(M10="NO",M9,IF('Verificación de Formulación'!O9&lt;4%,0.69%,2.14%)))</f>
        <v>2.1400000000000002E-2</v>
      </c>
      <c r="N12" s="44" t="str">
        <f>IF('Verificación de Formulación'!P9=0,"",IF(N11="NO",N10,1.5%))</f>
        <v/>
      </c>
      <c r="O12" s="44" t="str">
        <f>IF('Verificación de Formulación'!Q9=0,"",IF(O11="NO",O10,1.5%))</f>
        <v/>
      </c>
      <c r="P12" s="44" t="str">
        <f>IF('Verificación de Formulación'!R9=0,"",IF(P11="NO",P10,1.5%))</f>
        <v/>
      </c>
      <c r="Q12" s="44" t="str">
        <f>IF('Verificación de Formulación'!S9=0,"",IF(Q10="NO",Q9,1.5%))</f>
        <v/>
      </c>
      <c r="R12" s="44" t="str">
        <f>IF('Verificación de Formulación'!T9=0,"",IF(R10="NO",R9,1.5%))</f>
        <v/>
      </c>
      <c r="S12" s="44" t="str">
        <f>IF('Verificación de Formulación'!U9=0,"",IF(S10="NO",S9,1.5%))</f>
        <v/>
      </c>
      <c r="T12" s="44" t="str">
        <f>IF('Verificación de Formulación'!V9=0,"",IF(T10="NO",T9,1.5%))</f>
        <v/>
      </c>
      <c r="U12" s="44" t="str">
        <f>IF('Verificación de Formulación'!W9=0,"",IF(U10="NO",U9,1.5%))</f>
        <v/>
      </c>
      <c r="V12" s="44" t="str">
        <f>IF('Verificación de Formulación'!X9=0,"",IF(V10="NO",V9,1.5%))</f>
        <v/>
      </c>
      <c r="W12" s="44"/>
      <c r="X12" s="44" t="str">
        <f>IF('Verificación de Formulación'!Z9=0,"",IF(X10="NO",X9,1.5%))</f>
        <v/>
      </c>
      <c r="Y12" s="45" t="str">
        <f>IF('Verificación de Formulación'!AA9=0,"",IF(Y10="NO",Y9,1.5%))</f>
        <v/>
      </c>
    </row>
    <row r="13" spans="1:25" ht="15.75" thickBot="1" x14ac:dyDescent="0.3">
      <c r="A13" s="30"/>
      <c r="B13" s="31"/>
      <c r="C13" s="31"/>
      <c r="D13" s="31"/>
      <c r="E13" s="31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7"/>
    </row>
    <row r="14" spans="1:25" ht="15.75" thickBot="1" x14ac:dyDescent="0.3">
      <c r="N14" s="18"/>
      <c r="O14" s="18"/>
      <c r="P14" s="18"/>
    </row>
    <row r="15" spans="1:25" x14ac:dyDescent="0.25">
      <c r="A15" s="24"/>
      <c r="B15" s="25" t="s">
        <v>101</v>
      </c>
      <c r="C15" s="25"/>
      <c r="D15" s="25"/>
      <c r="E15" s="78">
        <f>IF(E16=0,"",E16-5%)</f>
        <v>0.4</v>
      </c>
      <c r="F15" s="42" t="str">
        <f>IF('Verificación de Formulación'!H9=0,"",F16-F9)</f>
        <v/>
      </c>
      <c r="G15" s="42">
        <f>IF('Verificación de Formulación'!I9=0,"",G16-G9)</f>
        <v>5.1168999999999999E-2</v>
      </c>
      <c r="H15" s="42" t="str">
        <f>IF('Verificación de Formulación'!J9=0,"",H16-H9)</f>
        <v/>
      </c>
      <c r="I15" s="42" t="str">
        <f>IF('Verificación de Formulación'!K9=0,"",I16-I9)</f>
        <v/>
      </c>
      <c r="J15" s="42" t="str">
        <f>IF('Verificación de Formulación'!L9=0,"",J16-J9)</f>
        <v/>
      </c>
      <c r="K15" s="42" t="str">
        <f>IF('Verificación de Formulación'!M9=0,"",K16-K9)</f>
        <v/>
      </c>
      <c r="L15" s="42">
        <f>IF('Verificación de Formulación'!N9=0,"",L16-L9)</f>
        <v>5.1168999999999999E-2</v>
      </c>
      <c r="M15" s="42">
        <f>IF('Verificación de Formulación'!O9=0,"",M16-M9)</f>
        <v>0.308305</v>
      </c>
      <c r="N15" s="42" t="str">
        <f>IF('Verificación de Formulación'!P9=0,"",N16-N9)</f>
        <v/>
      </c>
      <c r="O15" s="42" t="str">
        <f>IF('Verificación de Formulación'!Q9=0,"",O16-O9)</f>
        <v/>
      </c>
      <c r="P15" s="42" t="str">
        <f>IF('Verificación de Formulación'!R9=0,"",P16-P9)</f>
        <v/>
      </c>
      <c r="Q15" s="42" t="str">
        <f>IF('Verificación de Formulación'!S9=0,"",Q16-Q9)</f>
        <v/>
      </c>
      <c r="R15" s="42" t="str">
        <f>IF('Verificación de Formulación'!T9=0,"",R16-R9)</f>
        <v/>
      </c>
      <c r="S15" s="42" t="str">
        <f>IF('Verificación de Formulación'!U9=0,"",S16-S9)</f>
        <v/>
      </c>
      <c r="T15" s="42" t="str">
        <f>IF('Verificación de Formulación'!V9=0,"",T16-T9)</f>
        <v/>
      </c>
      <c r="U15" s="42" t="str">
        <f>IF('Verificación de Formulación'!W9=0,"",U16-U9)</f>
        <v/>
      </c>
      <c r="V15" s="42" t="str">
        <f>IF('Verificación de Formulación'!X9=0,"",V16-V9)</f>
        <v/>
      </c>
      <c r="W15" s="42" t="str">
        <f>IF('Verificación de Formulación'!Y9="","","ST")</f>
        <v/>
      </c>
      <c r="X15" s="42" t="str">
        <f>IF('Verificación de Formulación'!Z9=0,"",X16-X9)</f>
        <v/>
      </c>
      <c r="Y15" s="42" t="str">
        <f>IF('Verificación de Formulación'!AA9=0,"",Y16-Y9)</f>
        <v/>
      </c>
    </row>
    <row r="16" spans="1:25" x14ac:dyDescent="0.25">
      <c r="A16" s="27"/>
      <c r="B16" s="28" t="str">
        <f>IF('Verificación de Formulación'!C9="","",'Verificación de Formulación'!C9)</f>
        <v>FORMULA FT</v>
      </c>
      <c r="C16" s="28" t="str">
        <f>IF('Verificación de Formulación'!D9="","",'Verificación de Formulación'!D9)</f>
        <v>MFE 6-6-33+EM L1</v>
      </c>
      <c r="D16" s="28"/>
      <c r="E16" s="29">
        <f>IF('Verificación de Formulación'!G9="",0%,'Verificación de Formulación'!G9)</f>
        <v>0.45</v>
      </c>
      <c r="F16" s="29">
        <f>IF('Verificación de Formulación'!H9="",0%,'Verificación de Formulación'!H9)</f>
        <v>0</v>
      </c>
      <c r="G16" s="29">
        <f>IF('Verificación de Formulación'!I9="",0%,'Verificación de Formulación'!I9)</f>
        <v>0.06</v>
      </c>
      <c r="H16" s="29">
        <f>IF('Verificación de Formulación'!J9="",0%,'Verificación de Formulación'!J9)</f>
        <v>0</v>
      </c>
      <c r="I16" s="29">
        <f>IF('Verificación de Formulación'!K9="",0%,'Verificación de Formulación'!K9)</f>
        <v>0</v>
      </c>
      <c r="J16" s="29">
        <f>IF('Verificación de Formulación'!L9="",0%,'Verificación de Formulación'!L9)</f>
        <v>0</v>
      </c>
      <c r="K16" s="29">
        <f>IF('Verificación de Formulación'!M9="",0%,'Verificación de Formulación'!M9)</f>
        <v>0</v>
      </c>
      <c r="L16" s="29">
        <f>IF('Verificación de Formulación'!N9="",0%,'Verificación de Formulación'!N9)</f>
        <v>0.06</v>
      </c>
      <c r="M16" s="29">
        <f>IF('Verificación de Formulación'!O9="",0%,'Verificación de Formulación'!O9)</f>
        <v>0.33</v>
      </c>
      <c r="N16" s="29">
        <f>IF('Verificación de Formulación'!P9="",0%,'Verificación de Formulación'!P9)</f>
        <v>0</v>
      </c>
      <c r="O16" s="29">
        <f>IF('Verificación de Formulación'!Q9="",0%,'Verificación de Formulación'!Q9)</f>
        <v>0</v>
      </c>
      <c r="P16" s="29">
        <f>IF('Verificación de Formulación'!R9="",0%,'Verificación de Formulación'!R9)</f>
        <v>0</v>
      </c>
      <c r="Q16" s="29">
        <f>IF('Verificación de Formulación'!S9="",0%,'Verificación de Formulación'!S9)</f>
        <v>0</v>
      </c>
      <c r="R16" s="29">
        <f>IF('Verificación de Formulación'!T9="",0%,'Verificación de Formulación'!T9)</f>
        <v>0</v>
      </c>
      <c r="S16" s="29">
        <f>IF('Verificación de Formulación'!U9="",0%,'Verificación de Formulación'!U9)</f>
        <v>0</v>
      </c>
      <c r="T16" s="29">
        <f>IF('Verificación de Formulación'!V9="",0%,'Verificación de Formulación'!V9)</f>
        <v>0</v>
      </c>
      <c r="U16" s="29">
        <f>IF('Verificación de Formulación'!W9="",0%,'Verificación de Formulación'!W9)</f>
        <v>0</v>
      </c>
      <c r="V16" s="29">
        <f>IF('Verificación de Formulación'!X9="",0%,'Verificación de Formulación'!X9)</f>
        <v>0</v>
      </c>
      <c r="W16" s="29">
        <f>IF('Verificación de Formulación'!Y9="",0%,'Verificación de Formulación'!Y9)</f>
        <v>0</v>
      </c>
      <c r="X16" s="29">
        <f>IF('Verificación de Formulación'!Z9="",0%,'Verificación de Formulación'!Z9)</f>
        <v>0</v>
      </c>
      <c r="Y16" s="29">
        <f>IF('Verificación de Formulación'!AA9="",0%,'Verificación de Formulación'!AA9)</f>
        <v>0</v>
      </c>
    </row>
    <row r="17" spans="1:25" x14ac:dyDescent="0.25">
      <c r="A17" s="27"/>
      <c r="B17" s="28" t="s">
        <v>102</v>
      </c>
      <c r="C17" s="28"/>
      <c r="D17" s="28"/>
      <c r="E17" s="79">
        <f>IF(E16=0,"",E16+5%)</f>
        <v>0.5</v>
      </c>
      <c r="F17" s="44" t="str">
        <f>IF('Verificación de Formulación'!H9=0,"",F16+F9)</f>
        <v/>
      </c>
      <c r="G17" s="44">
        <f>IF('Verificación de Formulación'!I9=0,"",G16+G9)</f>
        <v>6.8831000000000003E-2</v>
      </c>
      <c r="H17" s="44" t="str">
        <f>IF('Verificación de Formulación'!J9=0,"",H16+H9)</f>
        <v/>
      </c>
      <c r="I17" s="44" t="str">
        <f>IF('Verificación de Formulación'!K9=0,"",I16+I9)</f>
        <v/>
      </c>
      <c r="J17" s="44" t="str">
        <f>IF('Verificación de Formulación'!L9=0,"",J16+J9)</f>
        <v/>
      </c>
      <c r="K17" s="44" t="str">
        <f>IF('Verificación de Formulación'!M9=0,"",K16+K9)</f>
        <v/>
      </c>
      <c r="L17" s="44">
        <f>IF('Verificación de Formulación'!N9=0,"",L16+L9)</f>
        <v>6.8831000000000003E-2</v>
      </c>
      <c r="M17" s="44">
        <f>IF('Verificación de Formulación'!O9=0,"",M16+M9)</f>
        <v>0.35169500000000004</v>
      </c>
      <c r="N17" s="44" t="str">
        <f>IF('Verificación de Formulación'!P9=0,"",N16+N9)</f>
        <v/>
      </c>
      <c r="O17" s="44" t="str">
        <f>IF('Verificación de Formulación'!Q9=0,"",O16+O9)</f>
        <v/>
      </c>
      <c r="P17" s="44" t="str">
        <f>IF('Verificación de Formulación'!R9=0,"",P16+P9)</f>
        <v/>
      </c>
      <c r="Q17" s="44" t="str">
        <f>IF('Verificación de Formulación'!S9=0,"",Q16+Q9)</f>
        <v/>
      </c>
      <c r="R17" s="44" t="str">
        <f>IF('Verificación de Formulación'!T9=0,"",R16+R9)</f>
        <v/>
      </c>
      <c r="S17" s="44" t="str">
        <f>IF('Verificación de Formulación'!U9=0,"",S16+S9)</f>
        <v/>
      </c>
      <c r="T17" s="44" t="str">
        <f>IF('Verificación de Formulación'!V9=0,"",T16+T9)</f>
        <v/>
      </c>
      <c r="U17" s="44" t="str">
        <f>IF('Verificación de Formulación'!W9=0,"",U16+U9)</f>
        <v/>
      </c>
      <c r="V17" s="44" t="str">
        <f>IF('Verificación de Formulación'!X9=0,"",V16+V9)</f>
        <v/>
      </c>
      <c r="W17" s="44" t="str">
        <f>IF('Verificación de Formulación'!Y9="","","ST")</f>
        <v/>
      </c>
      <c r="X17" s="44" t="str">
        <f>IF('Verificación de Formulación'!Z9=0,"",X16+X9)</f>
        <v/>
      </c>
      <c r="Y17" s="44" t="str">
        <f>IF('Verificación de Formulación'!AA9=0,"",Y16+Y9)</f>
        <v/>
      </c>
    </row>
    <row r="18" spans="1:25" x14ac:dyDescent="0.25">
      <c r="A18" s="27"/>
      <c r="B18" s="28" t="s">
        <v>110</v>
      </c>
      <c r="C18" s="28"/>
      <c r="D18" s="28"/>
      <c r="E18" s="74" t="str">
        <f>IF(E$16=0%,"",IF(E$6&gt;=ROUNDUP(E$15,3),"OK","menor"))</f>
        <v>OK</v>
      </c>
      <c r="F18" s="74" t="str">
        <f>IF(F$16=0%,"",IF(F$6&lt;ROUNDUP(F$15,3),"MENOR","OK"))</f>
        <v/>
      </c>
      <c r="G18" s="74" t="str">
        <f>IF(G$16=0%,"",IF(G$6&gt;=ROUNDUP(G$15,3),"OK","menor"))</f>
        <v>OK</v>
      </c>
      <c r="H18" s="74" t="str">
        <f>IF(H$16=0%,"",IF(H$6&lt;ROUNDUP(H$15,3),"MENOR","OK"))</f>
        <v/>
      </c>
      <c r="I18" s="74" t="str">
        <f>IF(I$16=0%,"",IF(I$6&lt;ROUNDUP(I$15,3),"MENOR","OK"))</f>
        <v/>
      </c>
      <c r="J18" s="74" t="str">
        <f>IF(J$16=0%,"",IF(J$6&lt;ROUNDUP(J$15,3),"MENOR","OK"))</f>
        <v/>
      </c>
      <c r="K18" s="74" t="str">
        <f>IF(K$16=0%,"",IF(K$6&lt;ROUNDUP(K$15,3),"MENOR","OK"))</f>
        <v/>
      </c>
      <c r="L18" s="74" t="str">
        <f>IF(L$16=0%,"",IF(L$6&lt;ROUNDUP(L$15,3),"MENOR","OK"))</f>
        <v>OK</v>
      </c>
      <c r="M18" s="74" t="str">
        <f>IF(M$16=0%,"",IF(M$6&lt;ROUND(M$15,2),"MENOR","OK"))</f>
        <v>OK</v>
      </c>
      <c r="N18" s="74" t="str">
        <f t="shared" ref="N18:V18" si="0">IF(N$16=0%,"",IF(N$6&lt;ROUND(N$15,1),"MENOR","OK"))</f>
        <v/>
      </c>
      <c r="O18" s="74" t="str">
        <f t="shared" si="0"/>
        <v/>
      </c>
      <c r="P18" s="74" t="str">
        <f t="shared" si="0"/>
        <v/>
      </c>
      <c r="Q18" s="74" t="str">
        <f t="shared" si="0"/>
        <v/>
      </c>
      <c r="R18" s="74" t="str">
        <f t="shared" si="0"/>
        <v/>
      </c>
      <c r="S18" s="74" t="str">
        <f t="shared" si="0"/>
        <v/>
      </c>
      <c r="T18" s="74" t="str">
        <f t="shared" si="0"/>
        <v/>
      </c>
      <c r="U18" s="74" t="str">
        <f t="shared" si="0"/>
        <v/>
      </c>
      <c r="V18" s="74" t="str">
        <f t="shared" si="0"/>
        <v/>
      </c>
      <c r="W18" s="44" t="str">
        <f>IF(W$16="","","ST")</f>
        <v>ST</v>
      </c>
      <c r="X18" s="44" t="str">
        <f>IF(X$16=0%,"",IF(X$6&lt;X$15,"MENOR","OK"))</f>
        <v/>
      </c>
      <c r="Y18" s="44" t="str">
        <f>IF(Y$16=0%,"",IF(Y$6&lt;Y$15,"MENOR","OK"))</f>
        <v/>
      </c>
    </row>
    <row r="19" spans="1:25" x14ac:dyDescent="0.25">
      <c r="A19" s="27"/>
      <c r="B19" s="28" t="s">
        <v>111</v>
      </c>
      <c r="C19" s="28"/>
      <c r="D19" s="28"/>
      <c r="E19" s="74" t="str">
        <f>IF(E$16=0%,"",IF(E$6&gt;ROUND(E$17,3),"MAYOR","OK"))</f>
        <v>OK</v>
      </c>
      <c r="F19" s="74" t="str">
        <f t="shared" ref="F19:V19" si="1">IF(F$16=0%,"",IF(F$6&gt;ROUND(F$17,3),"MAYOR","OK"))</f>
        <v/>
      </c>
      <c r="G19" s="74" t="str">
        <f t="shared" si="1"/>
        <v>OK</v>
      </c>
      <c r="H19" s="74" t="str">
        <f t="shared" si="1"/>
        <v/>
      </c>
      <c r="I19" s="74" t="str">
        <f t="shared" si="1"/>
        <v/>
      </c>
      <c r="J19" s="74" t="str">
        <f t="shared" si="1"/>
        <v/>
      </c>
      <c r="K19" s="74" t="str">
        <f t="shared" si="1"/>
        <v/>
      </c>
      <c r="L19" s="74" t="str">
        <f t="shared" si="1"/>
        <v>OK</v>
      </c>
      <c r="M19" s="74" t="str">
        <f t="shared" si="1"/>
        <v>OK</v>
      </c>
      <c r="N19" s="74" t="str">
        <f t="shared" si="1"/>
        <v/>
      </c>
      <c r="O19" s="74" t="str">
        <f t="shared" si="1"/>
        <v/>
      </c>
      <c r="P19" s="74" t="str">
        <f t="shared" si="1"/>
        <v/>
      </c>
      <c r="Q19" s="74" t="str">
        <f t="shared" si="1"/>
        <v/>
      </c>
      <c r="R19" s="74" t="str">
        <f t="shared" si="1"/>
        <v/>
      </c>
      <c r="S19" s="74" t="str">
        <f t="shared" si="1"/>
        <v/>
      </c>
      <c r="T19" s="74" t="str">
        <f t="shared" si="1"/>
        <v/>
      </c>
      <c r="U19" s="74" t="str">
        <f t="shared" si="1"/>
        <v/>
      </c>
      <c r="V19" s="74" t="str">
        <f t="shared" si="1"/>
        <v/>
      </c>
      <c r="W19" s="44" t="str">
        <f>IF(W$16="","","ST")</f>
        <v>ST</v>
      </c>
      <c r="X19" s="74" t="str">
        <f t="shared" ref="X19:Y19" si="2">IF(X$16=0%,"",IF(X$6&gt;ROUND(X$17,2),"MAYOR","OK"))</f>
        <v/>
      </c>
      <c r="Y19" s="74" t="str">
        <f t="shared" si="2"/>
        <v/>
      </c>
    </row>
    <row r="20" spans="1:25" ht="15.75" thickBot="1" x14ac:dyDescent="0.3">
      <c r="A20" s="30"/>
      <c r="B20" s="31" t="s">
        <v>112</v>
      </c>
      <c r="C20" s="31"/>
      <c r="D20" s="31"/>
      <c r="E20" s="75" t="str">
        <f t="shared" ref="E20:O20" si="3">IF(OR(E$18="",E$19=""),"",IF(AND(E18="OK",E19="OK"),"C",IF(E19="MAYOR","MAYOR*","NC")))</f>
        <v>C</v>
      </c>
      <c r="F20" s="75" t="str">
        <f t="shared" si="3"/>
        <v/>
      </c>
      <c r="G20" s="75" t="str">
        <f t="shared" si="3"/>
        <v>C</v>
      </c>
      <c r="H20" s="75" t="str">
        <f t="shared" si="3"/>
        <v/>
      </c>
      <c r="I20" s="75" t="str">
        <f t="shared" si="3"/>
        <v/>
      </c>
      <c r="J20" s="75" t="str">
        <f t="shared" si="3"/>
        <v/>
      </c>
      <c r="K20" s="75" t="str">
        <f t="shared" si="3"/>
        <v/>
      </c>
      <c r="L20" s="75" t="str">
        <f t="shared" si="3"/>
        <v>C</v>
      </c>
      <c r="M20" s="75" t="str">
        <f t="shared" si="3"/>
        <v>C</v>
      </c>
      <c r="N20" s="75" t="str">
        <f t="shared" si="3"/>
        <v/>
      </c>
      <c r="O20" s="75" t="str">
        <f t="shared" si="3"/>
        <v/>
      </c>
      <c r="P20" s="46" t="str">
        <f>IF(OR(P$18="",P$19=""),"",IF(AND(P18="OK",P19="OK"),"C",IF(P19="MAYOR","MAYOR*","NC")))</f>
        <v/>
      </c>
      <c r="Q20" s="75" t="str">
        <f t="shared" ref="Q20:V20" si="4">IF(OR(Q$18="",Q$19=""),"",IF(AND(Q18="OK",Q19="OK"),"C",IF(Q19="MAYOR","MAYOR*","NC")))</f>
        <v/>
      </c>
      <c r="R20" s="75" t="str">
        <f t="shared" si="4"/>
        <v/>
      </c>
      <c r="S20" s="75" t="str">
        <f t="shared" si="4"/>
        <v/>
      </c>
      <c r="T20" s="75" t="str">
        <f t="shared" si="4"/>
        <v/>
      </c>
      <c r="U20" s="75" t="str">
        <f t="shared" si="4"/>
        <v/>
      </c>
      <c r="V20" s="75" t="str">
        <f t="shared" si="4"/>
        <v/>
      </c>
      <c r="W20" s="46" t="str">
        <f>IF(W16=0,"",IF(OR(W18="ST",W19="ST"),"C/ST",""))</f>
        <v/>
      </c>
      <c r="X20" s="75" t="str">
        <f t="shared" ref="X20" si="5">IF(OR(X$18="",X$19=""),"",IF(AND(X18="OK",X19="OK"),"C",IF(X19="MAYOR","MAYOR*","NC")))</f>
        <v/>
      </c>
      <c r="Y20" s="75" t="str">
        <f t="shared" ref="Y20" si="6">IF(OR(Y$18="",Y$19=""),"",IF(AND(Y18="OK",Y19="OK"),"C",IF(Y19="MAYOR","MAYOR*","NC")))</f>
        <v/>
      </c>
    </row>
    <row r="21" spans="1:25" x14ac:dyDescent="0.25">
      <c r="L21" s="76"/>
    </row>
    <row r="22" spans="1:25" ht="15.75" thickBot="1" x14ac:dyDescent="0.3"/>
    <row r="23" spans="1:25" x14ac:dyDescent="0.25">
      <c r="A23" s="24" t="str">
        <f>A34</f>
        <v>CODIGO</v>
      </c>
      <c r="B23" s="25" t="str">
        <f>B34</f>
        <v>MATERIA PRIMA</v>
      </c>
      <c r="C23" s="25" t="str">
        <f t="shared" ref="C23:X23" si="7">C34</f>
        <v>CANTIDAD</v>
      </c>
      <c r="D23" s="25" t="str">
        <f t="shared" si="7"/>
        <v>Q</v>
      </c>
      <c r="E23" s="25" t="s">
        <v>159</v>
      </c>
      <c r="F23" s="25" t="str">
        <f t="shared" si="7"/>
        <v>C</v>
      </c>
      <c r="G23" s="25" t="str">
        <f t="shared" si="7"/>
        <v>N</v>
      </c>
      <c r="H23" s="25" t="str">
        <f t="shared" si="7"/>
        <v>N-NH4</v>
      </c>
      <c r="I23" s="25" t="str">
        <f t="shared" si="7"/>
        <v>N-NO3</v>
      </c>
      <c r="J23" s="25" t="str">
        <f t="shared" si="7"/>
        <v>N-org</v>
      </c>
      <c r="K23" s="25" t="str">
        <f t="shared" si="7"/>
        <v>N-ur</v>
      </c>
      <c r="L23" s="25" t="str">
        <f t="shared" si="7"/>
        <v>P</v>
      </c>
      <c r="M23" s="25" t="str">
        <f t="shared" si="7"/>
        <v>K</v>
      </c>
      <c r="N23" s="25" t="str">
        <f t="shared" si="7"/>
        <v>CaO</v>
      </c>
      <c r="O23" s="25" t="str">
        <f t="shared" si="7"/>
        <v>MgO</v>
      </c>
      <c r="P23" s="25" t="str">
        <f t="shared" si="7"/>
        <v>S</v>
      </c>
      <c r="Q23" s="25" t="str">
        <f t="shared" si="7"/>
        <v>B</v>
      </c>
      <c r="R23" s="25" t="str">
        <f t="shared" si="7"/>
        <v>Co</v>
      </c>
      <c r="S23" s="25" t="str">
        <f t="shared" si="7"/>
        <v>Cu</v>
      </c>
      <c r="T23" s="25" t="str">
        <f t="shared" si="7"/>
        <v>Fe</v>
      </c>
      <c r="U23" s="25" t="str">
        <f t="shared" si="7"/>
        <v>Mn</v>
      </c>
      <c r="V23" s="25" t="str">
        <f t="shared" si="7"/>
        <v>Mo</v>
      </c>
      <c r="W23" s="25" t="str">
        <f t="shared" si="7"/>
        <v>SiO2</v>
      </c>
      <c r="X23" s="25" t="str">
        <f t="shared" si="7"/>
        <v>Zn</v>
      </c>
      <c r="Y23" s="26"/>
    </row>
    <row r="24" spans="1:25" x14ac:dyDescent="0.25">
      <c r="A24" s="27">
        <f>A35</f>
        <v>12</v>
      </c>
      <c r="B24" s="28" t="str">
        <f>B35</f>
        <v>UREA_PRECISAGRO_G</v>
      </c>
      <c r="C24" s="28">
        <f t="shared" ref="C24:D24" si="8">C35</f>
        <v>37.5</v>
      </c>
      <c r="D24" s="28">
        <f t="shared" si="8"/>
        <v>3.75</v>
      </c>
      <c r="E24" s="28"/>
      <c r="F24" s="44" t="str">
        <f>IF(F35="","",F35*$D35/100)</f>
        <v/>
      </c>
      <c r="G24" s="44">
        <f t="shared" ref="G24:Y31" si="9">IF(G35="","",G35*$D35/100)</f>
        <v>1.7250000000000001E-2</v>
      </c>
      <c r="H24" s="44" t="str">
        <f t="shared" si="9"/>
        <v/>
      </c>
      <c r="I24" s="44" t="str">
        <f t="shared" si="9"/>
        <v/>
      </c>
      <c r="J24" s="44" t="str">
        <f t="shared" si="9"/>
        <v/>
      </c>
      <c r="K24" s="44">
        <f t="shared" si="9"/>
        <v>1.7250000000000001E-2</v>
      </c>
      <c r="L24" s="44" t="str">
        <f t="shared" si="9"/>
        <v/>
      </c>
      <c r="M24" s="44" t="str">
        <f t="shared" si="9"/>
        <v/>
      </c>
      <c r="N24" s="44" t="str">
        <f t="shared" si="9"/>
        <v/>
      </c>
      <c r="O24" s="44" t="str">
        <f t="shared" si="9"/>
        <v/>
      </c>
      <c r="P24" s="44" t="str">
        <f t="shared" si="9"/>
        <v/>
      </c>
      <c r="Q24" s="44" t="str">
        <f t="shared" si="9"/>
        <v/>
      </c>
      <c r="R24" s="44" t="str">
        <f t="shared" si="9"/>
        <v/>
      </c>
      <c r="S24" s="44" t="str">
        <f t="shared" si="9"/>
        <v/>
      </c>
      <c r="T24" s="44" t="str">
        <f t="shared" si="9"/>
        <v/>
      </c>
      <c r="U24" s="44" t="str">
        <f t="shared" si="9"/>
        <v/>
      </c>
      <c r="V24" s="44" t="str">
        <f t="shared" si="9"/>
        <v/>
      </c>
      <c r="W24" s="44" t="str">
        <f t="shared" si="9"/>
        <v/>
      </c>
      <c r="X24" s="44" t="str">
        <f t="shared" si="9"/>
        <v/>
      </c>
      <c r="Y24" s="45" t="str">
        <f t="shared" si="9"/>
        <v/>
      </c>
    </row>
    <row r="25" spans="1:25" x14ac:dyDescent="0.25">
      <c r="A25" s="27">
        <f t="shared" ref="A25:A31" si="10">A36</f>
        <v>32</v>
      </c>
      <c r="B25" s="28" t="str">
        <f t="shared" ref="B25:D25" si="11">B36</f>
        <v>SAM_NUTRICION PLANTAS_G</v>
      </c>
      <c r="C25" s="28">
        <f t="shared" si="11"/>
        <v>112.5</v>
      </c>
      <c r="D25" s="28">
        <f t="shared" si="11"/>
        <v>11.25</v>
      </c>
      <c r="E25" s="28"/>
      <c r="F25" s="44" t="str">
        <f t="shared" ref="F25:U31" si="12">IF(F36="","",F36*$D36/100)</f>
        <v/>
      </c>
      <c r="G25" s="44">
        <f t="shared" si="12"/>
        <v>2.3624999999999997E-2</v>
      </c>
      <c r="H25" s="44">
        <f t="shared" si="12"/>
        <v>2.3624999999999997E-2</v>
      </c>
      <c r="I25" s="44" t="str">
        <f t="shared" si="12"/>
        <v/>
      </c>
      <c r="J25" s="44" t="str">
        <f t="shared" si="12"/>
        <v/>
      </c>
      <c r="K25" s="44" t="str">
        <f t="shared" si="12"/>
        <v/>
      </c>
      <c r="L25" s="44" t="str">
        <f t="shared" si="12"/>
        <v/>
      </c>
      <c r="M25" s="44" t="str">
        <f t="shared" si="12"/>
        <v/>
      </c>
      <c r="N25" s="44" t="str">
        <f t="shared" si="12"/>
        <v/>
      </c>
      <c r="O25" s="44" t="str">
        <f t="shared" si="12"/>
        <v/>
      </c>
      <c r="P25" s="44">
        <f t="shared" si="12"/>
        <v>2.6999999999999996E-2</v>
      </c>
      <c r="Q25" s="44" t="str">
        <f t="shared" si="12"/>
        <v/>
      </c>
      <c r="R25" s="44" t="str">
        <f t="shared" si="12"/>
        <v/>
      </c>
      <c r="S25" s="44" t="str">
        <f t="shared" si="12"/>
        <v/>
      </c>
      <c r="T25" s="44" t="str">
        <f t="shared" si="12"/>
        <v/>
      </c>
      <c r="U25" s="44" t="str">
        <f t="shared" si="12"/>
        <v/>
      </c>
      <c r="V25" s="44" t="str">
        <f t="shared" si="9"/>
        <v/>
      </c>
      <c r="W25" s="44" t="str">
        <f t="shared" si="9"/>
        <v/>
      </c>
      <c r="X25" s="44" t="str">
        <f t="shared" si="9"/>
        <v/>
      </c>
      <c r="Y25" s="45" t="str">
        <f t="shared" si="9"/>
        <v/>
      </c>
    </row>
    <row r="26" spans="1:25" x14ac:dyDescent="0.25">
      <c r="A26" s="27">
        <f t="shared" si="10"/>
        <v>35</v>
      </c>
      <c r="B26" s="28" t="str">
        <f t="shared" ref="B26:D26" si="13">B37</f>
        <v>SILIMAGRAN_CALFERQUIM_G</v>
      </c>
      <c r="C26" s="28">
        <f t="shared" si="13"/>
        <v>200</v>
      </c>
      <c r="D26" s="28">
        <f t="shared" si="13"/>
        <v>20</v>
      </c>
      <c r="E26" s="28"/>
      <c r="F26" s="44" t="str">
        <f t="shared" si="12"/>
        <v/>
      </c>
      <c r="G26" s="44" t="str">
        <f t="shared" si="9"/>
        <v/>
      </c>
      <c r="H26" s="44" t="str">
        <f t="shared" si="9"/>
        <v/>
      </c>
      <c r="I26" s="44" t="str">
        <f t="shared" si="9"/>
        <v/>
      </c>
      <c r="J26" s="44" t="str">
        <f t="shared" si="9"/>
        <v/>
      </c>
      <c r="K26" s="44" t="str">
        <f t="shared" si="9"/>
        <v/>
      </c>
      <c r="L26" s="44">
        <f t="shared" si="9"/>
        <v>0.01</v>
      </c>
      <c r="M26" s="44" t="str">
        <f t="shared" si="9"/>
        <v/>
      </c>
      <c r="N26" s="44" t="str">
        <f t="shared" si="9"/>
        <v/>
      </c>
      <c r="O26" s="44">
        <f t="shared" si="9"/>
        <v>0.06</v>
      </c>
      <c r="P26" s="44" t="str">
        <f t="shared" si="9"/>
        <v/>
      </c>
      <c r="Q26" s="44" t="str">
        <f t="shared" si="9"/>
        <v/>
      </c>
      <c r="R26" s="44" t="str">
        <f t="shared" si="9"/>
        <v/>
      </c>
      <c r="S26" s="44" t="str">
        <f t="shared" si="9"/>
        <v/>
      </c>
      <c r="T26" s="44" t="str">
        <f t="shared" si="9"/>
        <v/>
      </c>
      <c r="U26" s="44" t="str">
        <f t="shared" si="9"/>
        <v/>
      </c>
      <c r="V26" s="44" t="str">
        <f t="shared" si="9"/>
        <v/>
      </c>
      <c r="W26" s="44">
        <f t="shared" si="9"/>
        <v>0.06</v>
      </c>
      <c r="X26" s="44" t="str">
        <f t="shared" si="9"/>
        <v/>
      </c>
      <c r="Y26" s="45" t="str">
        <f t="shared" si="9"/>
        <v/>
      </c>
    </row>
    <row r="27" spans="1:25" x14ac:dyDescent="0.25">
      <c r="A27" s="27">
        <f t="shared" si="10"/>
        <v>97</v>
      </c>
      <c r="B27" s="28" t="str">
        <f t="shared" ref="B27:D27" si="14">B38</f>
        <v>DAP_EVOAGRO_G</v>
      </c>
      <c r="C27" s="28">
        <f t="shared" si="14"/>
        <v>100</v>
      </c>
      <c r="D27" s="28">
        <f t="shared" si="14"/>
        <v>10</v>
      </c>
      <c r="E27" s="28"/>
      <c r="F27" s="44" t="str">
        <f t="shared" si="12"/>
        <v/>
      </c>
      <c r="G27" s="44">
        <f t="shared" si="9"/>
        <v>1.7999999999999999E-2</v>
      </c>
      <c r="H27" s="44" t="str">
        <f t="shared" si="9"/>
        <v/>
      </c>
      <c r="I27" s="44" t="str">
        <f t="shared" si="9"/>
        <v/>
      </c>
      <c r="J27" s="44" t="str">
        <f t="shared" si="9"/>
        <v/>
      </c>
      <c r="K27" s="44" t="str">
        <f t="shared" si="9"/>
        <v/>
      </c>
      <c r="L27" s="44">
        <f t="shared" si="9"/>
        <v>4.6000000000000006E-2</v>
      </c>
      <c r="M27" s="44" t="str">
        <f t="shared" si="9"/>
        <v/>
      </c>
      <c r="N27" s="44" t="str">
        <f t="shared" si="9"/>
        <v/>
      </c>
      <c r="O27" s="44" t="str">
        <f t="shared" si="9"/>
        <v/>
      </c>
      <c r="P27" s="44" t="str">
        <f t="shared" si="9"/>
        <v/>
      </c>
      <c r="Q27" s="44" t="str">
        <f t="shared" si="9"/>
        <v/>
      </c>
      <c r="R27" s="44" t="str">
        <f t="shared" si="9"/>
        <v/>
      </c>
      <c r="S27" s="44" t="str">
        <f t="shared" si="9"/>
        <v/>
      </c>
      <c r="T27" s="44" t="str">
        <f t="shared" si="9"/>
        <v/>
      </c>
      <c r="U27" s="44" t="str">
        <f t="shared" si="9"/>
        <v/>
      </c>
      <c r="V27" s="44" t="str">
        <f t="shared" si="9"/>
        <v/>
      </c>
      <c r="W27" s="44" t="str">
        <f t="shared" si="9"/>
        <v/>
      </c>
      <c r="X27" s="44" t="str">
        <f t="shared" si="9"/>
        <v/>
      </c>
      <c r="Y27" s="45" t="str">
        <f t="shared" si="9"/>
        <v/>
      </c>
    </row>
    <row r="28" spans="1:25" x14ac:dyDescent="0.25">
      <c r="A28" s="27">
        <f t="shared" si="10"/>
        <v>144</v>
      </c>
      <c r="B28" s="28" t="str">
        <f t="shared" ref="B28:D28" si="15">B39</f>
        <v>KCL_SQM_G</v>
      </c>
      <c r="C28" s="28">
        <f t="shared" si="15"/>
        <v>550</v>
      </c>
      <c r="D28" s="28">
        <f t="shared" si="15"/>
        <v>55</v>
      </c>
      <c r="E28" s="28"/>
      <c r="F28" s="44" t="str">
        <f t="shared" si="12"/>
        <v/>
      </c>
      <c r="G28" s="44" t="str">
        <f t="shared" si="9"/>
        <v/>
      </c>
      <c r="H28" s="44" t="str">
        <f t="shared" si="9"/>
        <v/>
      </c>
      <c r="I28" s="44" t="str">
        <f t="shared" si="9"/>
        <v/>
      </c>
      <c r="J28" s="44" t="str">
        <f t="shared" si="9"/>
        <v/>
      </c>
      <c r="K28" s="44" t="str">
        <f t="shared" si="9"/>
        <v/>
      </c>
      <c r="L28" s="44" t="str">
        <f t="shared" si="9"/>
        <v/>
      </c>
      <c r="M28" s="44">
        <f t="shared" si="9"/>
        <v>0.33</v>
      </c>
      <c r="N28" s="44" t="str">
        <f t="shared" si="9"/>
        <v/>
      </c>
      <c r="O28" s="44" t="str">
        <f t="shared" si="9"/>
        <v/>
      </c>
      <c r="P28" s="44" t="str">
        <f t="shared" si="9"/>
        <v/>
      </c>
      <c r="Q28" s="44" t="str">
        <f t="shared" si="9"/>
        <v/>
      </c>
      <c r="R28" s="44" t="str">
        <f t="shared" si="9"/>
        <v/>
      </c>
      <c r="S28" s="44" t="str">
        <f t="shared" si="9"/>
        <v/>
      </c>
      <c r="T28" s="44" t="str">
        <f t="shared" si="9"/>
        <v/>
      </c>
      <c r="U28" s="44" t="str">
        <f t="shared" si="9"/>
        <v/>
      </c>
      <c r="V28" s="44" t="str">
        <f t="shared" si="9"/>
        <v/>
      </c>
      <c r="W28" s="44" t="str">
        <f t="shared" si="9"/>
        <v/>
      </c>
      <c r="X28" s="44" t="str">
        <f t="shared" si="9"/>
        <v/>
      </c>
      <c r="Y28" s="45" t="str">
        <f t="shared" si="9"/>
        <v/>
      </c>
    </row>
    <row r="29" spans="1:25" x14ac:dyDescent="0.25">
      <c r="A29" s="27" t="str">
        <f t="shared" si="10"/>
        <v/>
      </c>
      <c r="B29" s="28" t="str">
        <f t="shared" ref="B29:D29" si="16">B40</f>
        <v/>
      </c>
      <c r="C29" s="28" t="str">
        <f t="shared" si="16"/>
        <v/>
      </c>
      <c r="D29" s="28" t="str">
        <f t="shared" si="16"/>
        <v/>
      </c>
      <c r="E29" s="28"/>
      <c r="F29" s="44" t="str">
        <f t="shared" si="12"/>
        <v/>
      </c>
      <c r="G29" s="44" t="str">
        <f t="shared" si="9"/>
        <v/>
      </c>
      <c r="H29" s="44" t="str">
        <f t="shared" si="9"/>
        <v/>
      </c>
      <c r="I29" s="44" t="str">
        <f t="shared" si="9"/>
        <v/>
      </c>
      <c r="J29" s="44" t="str">
        <f t="shared" si="9"/>
        <v/>
      </c>
      <c r="K29" s="44" t="str">
        <f t="shared" si="9"/>
        <v/>
      </c>
      <c r="L29" s="44" t="str">
        <f t="shared" si="9"/>
        <v/>
      </c>
      <c r="M29" s="44" t="str">
        <f t="shared" si="9"/>
        <v/>
      </c>
      <c r="N29" s="44" t="str">
        <f t="shared" si="9"/>
        <v/>
      </c>
      <c r="O29" s="44" t="str">
        <f t="shared" si="9"/>
        <v/>
      </c>
      <c r="P29" s="44" t="str">
        <f t="shared" si="9"/>
        <v/>
      </c>
      <c r="Q29" s="44" t="str">
        <f t="shared" si="9"/>
        <v/>
      </c>
      <c r="R29" s="44" t="str">
        <f t="shared" si="9"/>
        <v/>
      </c>
      <c r="S29" s="44" t="str">
        <f t="shared" si="9"/>
        <v/>
      </c>
      <c r="T29" s="44" t="str">
        <f t="shared" si="9"/>
        <v/>
      </c>
      <c r="U29" s="44" t="str">
        <f t="shared" si="9"/>
        <v/>
      </c>
      <c r="V29" s="44" t="str">
        <f t="shared" si="9"/>
        <v/>
      </c>
      <c r="W29" s="44" t="str">
        <f t="shared" si="9"/>
        <v/>
      </c>
      <c r="X29" s="44" t="str">
        <f t="shared" si="9"/>
        <v/>
      </c>
      <c r="Y29" s="45" t="str">
        <f t="shared" si="9"/>
        <v/>
      </c>
    </row>
    <row r="30" spans="1:25" x14ac:dyDescent="0.25">
      <c r="A30" s="27" t="str">
        <f t="shared" si="10"/>
        <v/>
      </c>
      <c r="B30" s="28" t="str">
        <f t="shared" ref="B30:D30" si="17">B41</f>
        <v/>
      </c>
      <c r="C30" s="28" t="str">
        <f t="shared" si="17"/>
        <v/>
      </c>
      <c r="D30" s="28" t="str">
        <f t="shared" si="17"/>
        <v/>
      </c>
      <c r="E30" s="28"/>
      <c r="F30" s="44" t="str">
        <f t="shared" si="12"/>
        <v/>
      </c>
      <c r="G30" s="44" t="str">
        <f t="shared" si="9"/>
        <v/>
      </c>
      <c r="H30" s="44" t="str">
        <f t="shared" si="9"/>
        <v/>
      </c>
      <c r="I30" s="44" t="str">
        <f t="shared" si="9"/>
        <v/>
      </c>
      <c r="J30" s="44" t="str">
        <f t="shared" si="9"/>
        <v/>
      </c>
      <c r="K30" s="44" t="str">
        <f t="shared" si="9"/>
        <v/>
      </c>
      <c r="L30" s="44" t="str">
        <f t="shared" si="9"/>
        <v/>
      </c>
      <c r="M30" s="44" t="str">
        <f t="shared" si="9"/>
        <v/>
      </c>
      <c r="N30" s="44" t="str">
        <f t="shared" si="9"/>
        <v/>
      </c>
      <c r="O30" s="44" t="str">
        <f t="shared" si="9"/>
        <v/>
      </c>
      <c r="P30" s="44" t="str">
        <f t="shared" si="9"/>
        <v/>
      </c>
      <c r="Q30" s="44" t="str">
        <f t="shared" si="9"/>
        <v/>
      </c>
      <c r="R30" s="44" t="str">
        <f t="shared" si="9"/>
        <v/>
      </c>
      <c r="S30" s="44" t="str">
        <f t="shared" si="9"/>
        <v/>
      </c>
      <c r="T30" s="44" t="str">
        <f t="shared" si="9"/>
        <v/>
      </c>
      <c r="U30" s="44" t="str">
        <f t="shared" si="9"/>
        <v/>
      </c>
      <c r="V30" s="44" t="str">
        <f t="shared" si="9"/>
        <v/>
      </c>
      <c r="W30" s="44" t="str">
        <f t="shared" si="9"/>
        <v/>
      </c>
      <c r="X30" s="44" t="str">
        <f t="shared" si="9"/>
        <v/>
      </c>
      <c r="Y30" s="45" t="str">
        <f t="shared" si="9"/>
        <v/>
      </c>
    </row>
    <row r="31" spans="1:25" x14ac:dyDescent="0.25">
      <c r="A31" s="27" t="str">
        <f t="shared" si="10"/>
        <v/>
      </c>
      <c r="B31" s="28" t="str">
        <f t="shared" ref="B31:D31" si="18">B42</f>
        <v/>
      </c>
      <c r="C31" s="28" t="str">
        <f t="shared" si="18"/>
        <v/>
      </c>
      <c r="D31" s="28" t="str">
        <f t="shared" si="18"/>
        <v/>
      </c>
      <c r="E31" s="28"/>
      <c r="F31" s="44" t="str">
        <f t="shared" si="12"/>
        <v/>
      </c>
      <c r="G31" s="44" t="str">
        <f t="shared" si="9"/>
        <v/>
      </c>
      <c r="H31" s="44" t="str">
        <f t="shared" si="9"/>
        <v/>
      </c>
      <c r="I31" s="44" t="str">
        <f t="shared" si="9"/>
        <v/>
      </c>
      <c r="J31" s="44" t="str">
        <f t="shared" si="9"/>
        <v/>
      </c>
      <c r="K31" s="44" t="str">
        <f t="shared" si="9"/>
        <v/>
      </c>
      <c r="L31" s="44" t="str">
        <f t="shared" si="9"/>
        <v/>
      </c>
      <c r="M31" s="44" t="str">
        <f t="shared" si="9"/>
        <v/>
      </c>
      <c r="N31" s="44" t="str">
        <f t="shared" si="9"/>
        <v/>
      </c>
      <c r="O31" s="44" t="str">
        <f t="shared" si="9"/>
        <v/>
      </c>
      <c r="P31" s="44" t="str">
        <f t="shared" si="9"/>
        <v/>
      </c>
      <c r="Q31" s="44" t="str">
        <f t="shared" si="9"/>
        <v/>
      </c>
      <c r="R31" s="44" t="str">
        <f t="shared" si="9"/>
        <v/>
      </c>
      <c r="S31" s="44" t="str">
        <f t="shared" si="9"/>
        <v/>
      </c>
      <c r="T31" s="44" t="str">
        <f t="shared" si="9"/>
        <v/>
      </c>
      <c r="U31" s="44" t="str">
        <f t="shared" si="9"/>
        <v/>
      </c>
      <c r="V31" s="44" t="str">
        <f t="shared" si="9"/>
        <v/>
      </c>
      <c r="W31" s="44" t="str">
        <f t="shared" si="9"/>
        <v/>
      </c>
      <c r="X31" s="44" t="str">
        <f t="shared" si="9"/>
        <v/>
      </c>
      <c r="Y31" s="45" t="str">
        <f t="shared" si="9"/>
        <v/>
      </c>
    </row>
    <row r="32" spans="1:25" ht="15.75" thickBot="1" x14ac:dyDescent="0.3">
      <c r="A32" s="30" t="str">
        <f>A43</f>
        <v/>
      </c>
      <c r="B32" s="31" t="str">
        <f>B43</f>
        <v/>
      </c>
      <c r="C32" s="31" t="str">
        <f t="shared" ref="C32:D32" si="19">C43</f>
        <v/>
      </c>
      <c r="D32" s="31" t="str">
        <f t="shared" si="19"/>
        <v/>
      </c>
      <c r="E32" s="31"/>
      <c r="F32" s="46" t="str">
        <f>IF(F43="","",F43*$D43/100)</f>
        <v/>
      </c>
      <c r="G32" s="46" t="str">
        <f t="shared" ref="G32:Y32" si="20">IF(G43="","",G43*$D43/100)</f>
        <v/>
      </c>
      <c r="H32" s="46" t="str">
        <f t="shared" si="20"/>
        <v/>
      </c>
      <c r="I32" s="46" t="str">
        <f t="shared" si="20"/>
        <v/>
      </c>
      <c r="J32" s="46" t="str">
        <f t="shared" si="20"/>
        <v/>
      </c>
      <c r="K32" s="46" t="str">
        <f t="shared" si="20"/>
        <v/>
      </c>
      <c r="L32" s="46" t="str">
        <f t="shared" si="20"/>
        <v/>
      </c>
      <c r="M32" s="46" t="str">
        <f t="shared" si="20"/>
        <v/>
      </c>
      <c r="N32" s="46" t="str">
        <f t="shared" si="20"/>
        <v/>
      </c>
      <c r="O32" s="46" t="str">
        <f t="shared" si="20"/>
        <v/>
      </c>
      <c r="P32" s="46" t="str">
        <f t="shared" si="20"/>
        <v/>
      </c>
      <c r="Q32" s="46" t="str">
        <f t="shared" si="20"/>
        <v/>
      </c>
      <c r="R32" s="46" t="str">
        <f t="shared" si="20"/>
        <v/>
      </c>
      <c r="S32" s="46" t="str">
        <f t="shared" si="20"/>
        <v/>
      </c>
      <c r="T32" s="46" t="str">
        <f t="shared" si="20"/>
        <v/>
      </c>
      <c r="U32" s="46" t="str">
        <f t="shared" si="20"/>
        <v/>
      </c>
      <c r="V32" s="46" t="str">
        <f t="shared" si="20"/>
        <v/>
      </c>
      <c r="W32" s="46" t="str">
        <f t="shared" si="20"/>
        <v/>
      </c>
      <c r="X32" s="46" t="str">
        <f t="shared" si="20"/>
        <v/>
      </c>
      <c r="Y32" s="47" t="str">
        <f t="shared" si="20"/>
        <v/>
      </c>
    </row>
    <row r="33" spans="1:25" ht="15.75" thickBot="1" x14ac:dyDescent="0.3"/>
    <row r="34" spans="1:25" x14ac:dyDescent="0.25">
      <c r="A34" s="32" t="s">
        <v>96</v>
      </c>
      <c r="B34" s="33" t="s">
        <v>0</v>
      </c>
      <c r="C34" s="33" t="s">
        <v>35</v>
      </c>
      <c r="D34" s="33" t="s">
        <v>37</v>
      </c>
      <c r="E34" s="33" t="s">
        <v>159</v>
      </c>
      <c r="F34" s="33" t="s">
        <v>3</v>
      </c>
      <c r="G34" s="33" t="s">
        <v>4</v>
      </c>
      <c r="H34" s="33" t="s">
        <v>5</v>
      </c>
      <c r="I34" s="33" t="s">
        <v>6</v>
      </c>
      <c r="J34" s="33" t="s">
        <v>7</v>
      </c>
      <c r="K34" s="33" t="s">
        <v>8</v>
      </c>
      <c r="L34" s="33" t="s">
        <v>9</v>
      </c>
      <c r="M34" s="33" t="s">
        <v>10</v>
      </c>
      <c r="N34" s="33" t="s">
        <v>11</v>
      </c>
      <c r="O34" s="33" t="s">
        <v>12</v>
      </c>
      <c r="P34" s="33" t="s">
        <v>13</v>
      </c>
      <c r="Q34" s="33" t="s">
        <v>14</v>
      </c>
      <c r="R34" s="33" t="s">
        <v>15</v>
      </c>
      <c r="S34" s="33" t="s">
        <v>16</v>
      </c>
      <c r="T34" s="33" t="s">
        <v>17</v>
      </c>
      <c r="U34" s="33" t="s">
        <v>18</v>
      </c>
      <c r="V34" s="33" t="s">
        <v>19</v>
      </c>
      <c r="W34" s="33" t="s">
        <v>20</v>
      </c>
      <c r="X34" s="33" t="s">
        <v>21</v>
      </c>
      <c r="Y34" s="34" t="s">
        <v>22</v>
      </c>
    </row>
    <row r="35" spans="1:25" x14ac:dyDescent="0.25">
      <c r="A35" s="35">
        <f>IF(OR('Verificación de Formulación'!D15="",'Verificación de Formulación'!D15=0),"",'Verificación de Formulación'!D15)</f>
        <v>12</v>
      </c>
      <c r="B35" s="36" t="str">
        <f>IF(OR('Verificación de Formulación'!E15="",'Verificación de Formulación'!E15=0),"",'Verificación de Formulación'!E15)</f>
        <v>UREA_PRECISAGRO_G</v>
      </c>
      <c r="C35" s="36">
        <f>IF(OR('Verificación de Formulación'!F15="",'Verificación de Formulación'!F15=0),"",'Verificación de Formulación'!F15)</f>
        <v>37.5</v>
      </c>
      <c r="D35" s="36">
        <f>IF(OR('Verificación de Formulación'!G15="",'Verificación de Formulación'!G15=0),"",'Verificación de Formulación'!G15)</f>
        <v>3.75</v>
      </c>
      <c r="E35" s="36"/>
      <c r="F35" s="48" t="str">
        <f>IF(OR('Verificación de Formulación'!H15="",'Verificación de Formulación'!H15=0),"",'Verificación de Formulación'!H15)</f>
        <v/>
      </c>
      <c r="G35" s="48">
        <f>IF(OR('Verificación de Formulación'!I15="",'Verificación de Formulación'!I15=0),"",'Verificación de Formulación'!I15)</f>
        <v>0.46</v>
      </c>
      <c r="H35" s="48" t="str">
        <f>IF(OR('Verificación de Formulación'!J15="",'Verificación de Formulación'!J15=0),"",'Verificación de Formulación'!J15)</f>
        <v/>
      </c>
      <c r="I35" s="48" t="str">
        <f>IF(OR('Verificación de Formulación'!K15="",'Verificación de Formulación'!K15=0),"",'Verificación de Formulación'!K15)</f>
        <v/>
      </c>
      <c r="J35" s="48" t="str">
        <f>IF(OR('Verificación de Formulación'!L15="",'Verificación de Formulación'!L15=0),"",'Verificación de Formulación'!L15)</f>
        <v/>
      </c>
      <c r="K35" s="48">
        <f>IF(OR('Verificación de Formulación'!M15="",'Verificación de Formulación'!M15=0),"",'Verificación de Formulación'!M15)</f>
        <v>0.46</v>
      </c>
      <c r="L35" s="48" t="str">
        <f>IF(OR('Verificación de Formulación'!N15="",'Verificación de Formulación'!N15=0),"",'Verificación de Formulación'!N15)</f>
        <v/>
      </c>
      <c r="M35" s="48" t="str">
        <f>IF(OR('Verificación de Formulación'!O15="",'Verificación de Formulación'!O15=0),"",'Verificación de Formulación'!O15)</f>
        <v/>
      </c>
      <c r="N35" s="48" t="str">
        <f>IF(OR('Verificación de Formulación'!P15="",'Verificación de Formulación'!P15=0),"",'Verificación de Formulación'!P15)</f>
        <v/>
      </c>
      <c r="O35" s="48" t="str">
        <f>IF(OR('Verificación de Formulación'!Q15="",'Verificación de Formulación'!Q15=0),"",'Verificación de Formulación'!Q15)</f>
        <v/>
      </c>
      <c r="P35" s="48" t="str">
        <f>IF(OR('Verificación de Formulación'!R15="",'Verificación de Formulación'!R15=0),"",'Verificación de Formulación'!R15)</f>
        <v/>
      </c>
      <c r="Q35" s="48" t="str">
        <f>IF(OR('Verificación de Formulación'!S15="",'Verificación de Formulación'!S15=0),"",'Verificación de Formulación'!S15)</f>
        <v/>
      </c>
      <c r="R35" s="48" t="str">
        <f>IF(OR('Verificación de Formulación'!T15="",'Verificación de Formulación'!T15=0),"",'Verificación de Formulación'!T15)</f>
        <v/>
      </c>
      <c r="S35" s="48" t="str">
        <f>IF(OR('Verificación de Formulación'!U15="",'Verificación de Formulación'!U15=0),"",'Verificación de Formulación'!U15)</f>
        <v/>
      </c>
      <c r="T35" s="48" t="str">
        <f>IF(OR('Verificación de Formulación'!V15="",'Verificación de Formulación'!V15=0),"",'Verificación de Formulación'!V15)</f>
        <v/>
      </c>
      <c r="U35" s="48" t="str">
        <f>IF(OR('Verificación de Formulación'!W15="",'Verificación de Formulación'!W15=0),"",'Verificación de Formulación'!W15)</f>
        <v/>
      </c>
      <c r="V35" s="48" t="str">
        <f>IF(OR('Verificación de Formulación'!X15="",'Verificación de Formulación'!X15=0),"",'Verificación de Formulación'!X15)</f>
        <v/>
      </c>
      <c r="W35" s="48" t="str">
        <f>IF(OR('Verificación de Formulación'!Y15="",'Verificación de Formulación'!Y15=0),"",'Verificación de Formulación'!Y15)</f>
        <v/>
      </c>
      <c r="X35" s="48" t="str">
        <f>IF(OR('Verificación de Formulación'!Z15="",'Verificación de Formulación'!Z15=0),"",'Verificación de Formulación'!Z15)</f>
        <v/>
      </c>
      <c r="Y35" s="49" t="str">
        <f>IF(OR('Verificación de Formulación'!AA15="",'Verificación de Formulación'!AA15=0),"",'Verificación de Formulación'!AA15)</f>
        <v/>
      </c>
    </row>
    <row r="36" spans="1:25" x14ac:dyDescent="0.25">
      <c r="A36" s="35">
        <f>IF(OR('Verificación de Formulación'!D16="",'Verificación de Formulación'!D16=0),"",'Verificación de Formulación'!D16)</f>
        <v>32</v>
      </c>
      <c r="B36" s="36" t="str">
        <f>IF(OR('Verificación de Formulación'!E16="",'Verificación de Formulación'!E16=0),"",'Verificación de Formulación'!E16)</f>
        <v>SAM_NUTRICION PLANTAS_G</v>
      </c>
      <c r="C36" s="36">
        <f>IF(OR('Verificación de Formulación'!F16="",'Verificación de Formulación'!F16=0),"",'Verificación de Formulación'!F16)</f>
        <v>112.5</v>
      </c>
      <c r="D36" s="36">
        <f>IF(OR('Verificación de Formulación'!G16="",'Verificación de Formulación'!G16=0),"",'Verificación de Formulación'!G16)</f>
        <v>11.25</v>
      </c>
      <c r="E36" s="36"/>
      <c r="F36" s="48" t="str">
        <f>IF(OR('Verificación de Formulación'!H16="",'Verificación de Formulación'!H16=0),"",'Verificación de Formulación'!H16)</f>
        <v/>
      </c>
      <c r="G36" s="48">
        <f>IF(OR('Verificación de Formulación'!I16="",'Verificación de Formulación'!I16=0),"",'Verificación de Formulación'!I16)</f>
        <v>0.21</v>
      </c>
      <c r="H36" s="48">
        <f>IF(OR('Verificación de Formulación'!J16="",'Verificación de Formulación'!J16=0),"",'Verificación de Formulación'!J16)</f>
        <v>0.21</v>
      </c>
      <c r="I36" s="48" t="str">
        <f>IF(OR('Verificación de Formulación'!K16="",'Verificación de Formulación'!K16=0),"",'Verificación de Formulación'!K16)</f>
        <v/>
      </c>
      <c r="J36" s="48" t="str">
        <f>IF(OR('Verificación de Formulación'!L16="",'Verificación de Formulación'!L16=0),"",'Verificación de Formulación'!L16)</f>
        <v/>
      </c>
      <c r="K36" s="48" t="str">
        <f>IF(OR('Verificación de Formulación'!M16="",'Verificación de Formulación'!M16=0),"",'Verificación de Formulación'!M16)</f>
        <v/>
      </c>
      <c r="L36" s="48" t="str">
        <f>IF(OR('Verificación de Formulación'!N16="",'Verificación de Formulación'!N16=0),"",'Verificación de Formulación'!N16)</f>
        <v/>
      </c>
      <c r="M36" s="48" t="str">
        <f>IF(OR('Verificación de Formulación'!O16="",'Verificación de Formulación'!O16=0),"",'Verificación de Formulación'!O16)</f>
        <v/>
      </c>
      <c r="N36" s="48" t="str">
        <f>IF(OR('Verificación de Formulación'!P16="",'Verificación de Formulación'!P16=0),"",'Verificación de Formulación'!P16)</f>
        <v/>
      </c>
      <c r="O36" s="48" t="str">
        <f>IF(OR('Verificación de Formulación'!Q16="",'Verificación de Formulación'!Q16=0),"",'Verificación de Formulación'!Q16)</f>
        <v/>
      </c>
      <c r="P36" s="48">
        <f>IF(OR('Verificación de Formulación'!R16="",'Verificación de Formulación'!R16=0),"",'Verificación de Formulación'!R16)</f>
        <v>0.24</v>
      </c>
      <c r="Q36" s="48" t="str">
        <f>IF(OR('Verificación de Formulación'!S16="",'Verificación de Formulación'!S16=0),"",'Verificación de Formulación'!S16)</f>
        <v/>
      </c>
      <c r="R36" s="48" t="str">
        <f>IF(OR('Verificación de Formulación'!T16="",'Verificación de Formulación'!T16=0),"",'Verificación de Formulación'!T16)</f>
        <v/>
      </c>
      <c r="S36" s="48" t="str">
        <f>IF(OR('Verificación de Formulación'!U16="",'Verificación de Formulación'!U16=0),"",'Verificación de Formulación'!U16)</f>
        <v/>
      </c>
      <c r="T36" s="48" t="str">
        <f>IF(OR('Verificación de Formulación'!V16="",'Verificación de Formulación'!V16=0),"",'Verificación de Formulación'!V16)</f>
        <v/>
      </c>
      <c r="U36" s="48" t="str">
        <f>IF(OR('Verificación de Formulación'!W16="",'Verificación de Formulación'!W16=0),"",'Verificación de Formulación'!W16)</f>
        <v/>
      </c>
      <c r="V36" s="48" t="str">
        <f>IF(OR('Verificación de Formulación'!X16="",'Verificación de Formulación'!X16=0),"",'Verificación de Formulación'!X16)</f>
        <v/>
      </c>
      <c r="W36" s="48" t="str">
        <f>IF(OR('Verificación de Formulación'!Y16="",'Verificación de Formulación'!Y16=0),"",'Verificación de Formulación'!Y16)</f>
        <v/>
      </c>
      <c r="X36" s="48" t="str">
        <f>IF(OR('Verificación de Formulación'!Z16="",'Verificación de Formulación'!Z16=0),"",'Verificación de Formulación'!Z16)</f>
        <v/>
      </c>
      <c r="Y36" s="49" t="str">
        <f>IF(OR('Verificación de Formulación'!AA16="",'Verificación de Formulación'!AA16=0),"",'Verificación de Formulación'!AA16)</f>
        <v/>
      </c>
    </row>
    <row r="37" spans="1:25" x14ac:dyDescent="0.25">
      <c r="A37" s="35">
        <f>IF(OR('Verificación de Formulación'!D17="",'Verificación de Formulación'!D17=0),"",'Verificación de Formulación'!D17)</f>
        <v>35</v>
      </c>
      <c r="B37" s="36" t="str">
        <f>IF(OR('Verificación de Formulación'!E17="",'Verificación de Formulación'!E17=0),"",'Verificación de Formulación'!E17)</f>
        <v>SILIMAGRAN_CALFERQUIM_G</v>
      </c>
      <c r="C37" s="36">
        <f>IF(OR('Verificación de Formulación'!F17="",'Verificación de Formulación'!F17=0),"",'Verificación de Formulación'!F17)</f>
        <v>200</v>
      </c>
      <c r="D37" s="36">
        <f>IF(OR('Verificación de Formulación'!G17="",'Verificación de Formulación'!G17=0),"",'Verificación de Formulación'!G17)</f>
        <v>20</v>
      </c>
      <c r="E37" s="36"/>
      <c r="F37" s="48" t="str">
        <f>IF(OR('Verificación de Formulación'!H17="",'Verificación de Formulación'!H17=0),"",'Verificación de Formulación'!H17)</f>
        <v/>
      </c>
      <c r="G37" s="48" t="str">
        <f>IF(OR('Verificación de Formulación'!I17="",'Verificación de Formulación'!I17=0),"",'Verificación de Formulación'!I17)</f>
        <v/>
      </c>
      <c r="H37" s="48" t="str">
        <f>IF(OR('Verificación de Formulación'!J17="",'Verificación de Formulación'!J17=0),"",'Verificación de Formulación'!J17)</f>
        <v/>
      </c>
      <c r="I37" s="48" t="str">
        <f>IF(OR('Verificación de Formulación'!K17="",'Verificación de Formulación'!K17=0),"",'Verificación de Formulación'!K17)</f>
        <v/>
      </c>
      <c r="J37" s="48" t="str">
        <f>IF(OR('Verificación de Formulación'!L17="",'Verificación de Formulación'!L17=0),"",'Verificación de Formulación'!L17)</f>
        <v/>
      </c>
      <c r="K37" s="48" t="str">
        <f>IF(OR('Verificación de Formulación'!M17="",'Verificación de Formulación'!M17=0),"",'Verificación de Formulación'!M17)</f>
        <v/>
      </c>
      <c r="L37" s="48">
        <f>IF(OR('Verificación de Formulación'!N17="",'Verificación de Formulación'!N17=0),"",'Verificación de Formulación'!N17)</f>
        <v>0.05</v>
      </c>
      <c r="M37" s="48" t="str">
        <f>IF(OR('Verificación de Formulación'!O17="",'Verificación de Formulación'!O17=0),"",'Verificación de Formulación'!O17)</f>
        <v/>
      </c>
      <c r="N37" s="48" t="str">
        <f>IF(OR('Verificación de Formulación'!P17="",'Verificación de Formulación'!P17=0),"",'Verificación de Formulación'!P17)</f>
        <v/>
      </c>
      <c r="O37" s="48">
        <f>IF(OR('Verificación de Formulación'!Q17="",'Verificación de Formulación'!Q17=0),"",'Verificación de Formulación'!Q17)</f>
        <v>0.3</v>
      </c>
      <c r="P37" s="48" t="str">
        <f>IF(OR('Verificación de Formulación'!R17="",'Verificación de Formulación'!R17=0),"",'Verificación de Formulación'!R17)</f>
        <v/>
      </c>
      <c r="Q37" s="48" t="str">
        <f>IF(OR('Verificación de Formulación'!S17="",'Verificación de Formulación'!S17=0),"",'Verificación de Formulación'!S17)</f>
        <v/>
      </c>
      <c r="R37" s="48" t="str">
        <f>IF(OR('Verificación de Formulación'!T17="",'Verificación de Formulación'!T17=0),"",'Verificación de Formulación'!T17)</f>
        <v/>
      </c>
      <c r="S37" s="48" t="str">
        <f>IF(OR('Verificación de Formulación'!U17="",'Verificación de Formulación'!U17=0),"",'Verificación de Formulación'!U17)</f>
        <v/>
      </c>
      <c r="T37" s="48" t="str">
        <f>IF(OR('Verificación de Formulación'!V17="",'Verificación de Formulación'!V17=0),"",'Verificación de Formulación'!V17)</f>
        <v/>
      </c>
      <c r="U37" s="48" t="str">
        <f>IF(OR('Verificación de Formulación'!W17="",'Verificación de Formulación'!W17=0),"",'Verificación de Formulación'!W17)</f>
        <v/>
      </c>
      <c r="V37" s="48" t="str">
        <f>IF(OR('Verificación de Formulación'!X17="",'Verificación de Formulación'!X17=0),"",'Verificación de Formulación'!X17)</f>
        <v/>
      </c>
      <c r="W37" s="48">
        <f>IF(OR('Verificación de Formulación'!Y17="",'Verificación de Formulación'!Y17=0),"",'Verificación de Formulación'!Y17)</f>
        <v>0.3</v>
      </c>
      <c r="X37" s="48" t="str">
        <f>IF(OR('Verificación de Formulación'!Z17="",'Verificación de Formulación'!Z17=0),"",'Verificación de Formulación'!Z17)</f>
        <v/>
      </c>
      <c r="Y37" s="49" t="str">
        <f>IF(OR('Verificación de Formulación'!AA17="",'Verificación de Formulación'!AA17=0),"",'Verificación de Formulación'!AA17)</f>
        <v/>
      </c>
    </row>
    <row r="38" spans="1:25" x14ac:dyDescent="0.25">
      <c r="A38" s="35">
        <f>IF(OR('Verificación de Formulación'!D18="",'Verificación de Formulación'!D18=0),"",'Verificación de Formulación'!D18)</f>
        <v>97</v>
      </c>
      <c r="B38" s="36" t="str">
        <f>IF(OR('Verificación de Formulación'!E18="",'Verificación de Formulación'!E18=0),"",'Verificación de Formulación'!E18)</f>
        <v>DAP_EVOAGRO_G</v>
      </c>
      <c r="C38" s="36">
        <f>IF(OR('Verificación de Formulación'!F18="",'Verificación de Formulación'!F18=0),"",'Verificación de Formulación'!F18)</f>
        <v>100</v>
      </c>
      <c r="D38" s="36">
        <f>IF(OR('Verificación de Formulación'!G18="",'Verificación de Formulación'!G18=0),"",'Verificación de Formulación'!G18)</f>
        <v>10</v>
      </c>
      <c r="E38" s="36"/>
      <c r="F38" s="48" t="str">
        <f>IF(OR('Verificación de Formulación'!H18="",'Verificación de Formulación'!H18=0),"",'Verificación de Formulación'!H18)</f>
        <v/>
      </c>
      <c r="G38" s="48">
        <f>IF(OR('Verificación de Formulación'!I18="",'Verificación de Formulación'!I18=0),"",'Verificación de Formulación'!I18)</f>
        <v>0.18</v>
      </c>
      <c r="H38" s="48" t="str">
        <f>IF(OR('Verificación de Formulación'!J18="",'Verificación de Formulación'!J18=0),"",'Verificación de Formulación'!J18)</f>
        <v/>
      </c>
      <c r="I38" s="48" t="str">
        <f>IF(OR('Verificación de Formulación'!K18="",'Verificación de Formulación'!K18=0),"",'Verificación de Formulación'!K18)</f>
        <v/>
      </c>
      <c r="J38" s="48" t="str">
        <f>IF(OR('Verificación de Formulación'!L18="",'Verificación de Formulación'!L18=0),"",'Verificación de Formulación'!L18)</f>
        <v/>
      </c>
      <c r="K38" s="48" t="str">
        <f>IF(OR('Verificación de Formulación'!M18="",'Verificación de Formulación'!M18=0),"",'Verificación de Formulación'!M18)</f>
        <v/>
      </c>
      <c r="L38" s="48">
        <f>IF(OR('Verificación de Formulación'!N18="",'Verificación de Formulación'!N18=0),"",'Verificación de Formulación'!N18)</f>
        <v>0.46</v>
      </c>
      <c r="M38" s="48" t="str">
        <f>IF(OR('Verificación de Formulación'!O18="",'Verificación de Formulación'!O18=0),"",'Verificación de Formulación'!O18)</f>
        <v/>
      </c>
      <c r="N38" s="48" t="str">
        <f>IF(OR('Verificación de Formulación'!P18="",'Verificación de Formulación'!P18=0),"",'Verificación de Formulación'!P18)</f>
        <v/>
      </c>
      <c r="O38" s="48" t="str">
        <f>IF(OR('Verificación de Formulación'!Q18="",'Verificación de Formulación'!Q18=0),"",'Verificación de Formulación'!Q18)</f>
        <v/>
      </c>
      <c r="P38" s="48" t="str">
        <f>IF(OR('Verificación de Formulación'!R18="",'Verificación de Formulación'!R18=0),"",'Verificación de Formulación'!R18)</f>
        <v/>
      </c>
      <c r="Q38" s="48" t="str">
        <f>IF(OR('Verificación de Formulación'!S18="",'Verificación de Formulación'!S18=0),"",'Verificación de Formulación'!S18)</f>
        <v/>
      </c>
      <c r="R38" s="48" t="str">
        <f>IF(OR('Verificación de Formulación'!T18="",'Verificación de Formulación'!T18=0),"",'Verificación de Formulación'!T18)</f>
        <v/>
      </c>
      <c r="S38" s="48" t="str">
        <f>IF(OR('Verificación de Formulación'!U18="",'Verificación de Formulación'!U18=0),"",'Verificación de Formulación'!U18)</f>
        <v/>
      </c>
      <c r="T38" s="48" t="str">
        <f>IF(OR('Verificación de Formulación'!V18="",'Verificación de Formulación'!V18=0),"",'Verificación de Formulación'!V18)</f>
        <v/>
      </c>
      <c r="U38" s="48" t="str">
        <f>IF(OR('Verificación de Formulación'!W18="",'Verificación de Formulación'!W18=0),"",'Verificación de Formulación'!W18)</f>
        <v/>
      </c>
      <c r="V38" s="48" t="str">
        <f>IF(OR('Verificación de Formulación'!X18="",'Verificación de Formulación'!X18=0),"",'Verificación de Formulación'!X18)</f>
        <v/>
      </c>
      <c r="W38" s="48" t="str">
        <f>IF(OR('Verificación de Formulación'!Y18="",'Verificación de Formulación'!Y18=0),"",'Verificación de Formulación'!Y18)</f>
        <v/>
      </c>
      <c r="X38" s="48" t="str">
        <f>IF(OR('Verificación de Formulación'!Z18="",'Verificación de Formulación'!Z18=0),"",'Verificación de Formulación'!Z18)</f>
        <v/>
      </c>
      <c r="Y38" s="49" t="str">
        <f>IF(OR('Verificación de Formulación'!AA18="",'Verificación de Formulación'!AA18=0),"",'Verificación de Formulación'!AA18)</f>
        <v/>
      </c>
    </row>
    <row r="39" spans="1:25" x14ac:dyDescent="0.25">
      <c r="A39" s="35">
        <f>IF(OR('Verificación de Formulación'!D19="",'Verificación de Formulación'!D19=0),"",'Verificación de Formulación'!D19)</f>
        <v>144</v>
      </c>
      <c r="B39" s="36" t="str">
        <f>IF(OR('Verificación de Formulación'!E19="",'Verificación de Formulación'!E19=0),"",'Verificación de Formulación'!E19)</f>
        <v>KCL_SQM_G</v>
      </c>
      <c r="C39" s="36">
        <f>IF(OR('Verificación de Formulación'!F19="",'Verificación de Formulación'!F19=0),"",'Verificación de Formulación'!F19)</f>
        <v>550</v>
      </c>
      <c r="D39" s="36">
        <f>IF(OR('Verificación de Formulación'!G19="",'Verificación de Formulación'!G19=0),"",'Verificación de Formulación'!G19)</f>
        <v>55</v>
      </c>
      <c r="E39" s="36"/>
      <c r="F39" s="48" t="str">
        <f>IF(OR('Verificación de Formulación'!H19="",'Verificación de Formulación'!H19=0),"",'Verificación de Formulación'!H19)</f>
        <v/>
      </c>
      <c r="G39" s="48" t="str">
        <f>IF(OR('Verificación de Formulación'!I19="",'Verificación de Formulación'!I19=0),"",'Verificación de Formulación'!I19)</f>
        <v/>
      </c>
      <c r="H39" s="48" t="str">
        <f>IF(OR('Verificación de Formulación'!J19="",'Verificación de Formulación'!J19=0),"",'Verificación de Formulación'!J19)</f>
        <v/>
      </c>
      <c r="I39" s="48" t="str">
        <f>IF(OR('Verificación de Formulación'!K19="",'Verificación de Formulación'!K19=0),"",'Verificación de Formulación'!K19)</f>
        <v/>
      </c>
      <c r="J39" s="48" t="str">
        <f>IF(OR('Verificación de Formulación'!L19="",'Verificación de Formulación'!L19=0),"",'Verificación de Formulación'!L19)</f>
        <v/>
      </c>
      <c r="K39" s="48" t="str">
        <f>IF(OR('Verificación de Formulación'!M19="",'Verificación de Formulación'!M19=0),"",'Verificación de Formulación'!M19)</f>
        <v/>
      </c>
      <c r="L39" s="48" t="str">
        <f>IF(OR('Verificación de Formulación'!N19="",'Verificación de Formulación'!N19=0),"",'Verificación de Formulación'!N19)</f>
        <v/>
      </c>
      <c r="M39" s="48">
        <f>IF(OR('Verificación de Formulación'!O19="",'Verificación de Formulación'!O19=0),"",'Verificación de Formulación'!O19)</f>
        <v>0.6</v>
      </c>
      <c r="N39" s="48" t="str">
        <f>IF(OR('Verificación de Formulación'!P19="",'Verificación de Formulación'!P19=0),"",'Verificación de Formulación'!P19)</f>
        <v/>
      </c>
      <c r="O39" s="48" t="str">
        <f>IF(OR('Verificación de Formulación'!Q19="",'Verificación de Formulación'!Q19=0),"",'Verificación de Formulación'!Q19)</f>
        <v/>
      </c>
      <c r="P39" s="48" t="str">
        <f>IF(OR('Verificación de Formulación'!R19="",'Verificación de Formulación'!R19=0),"",'Verificación de Formulación'!R19)</f>
        <v/>
      </c>
      <c r="Q39" s="48" t="str">
        <f>IF(OR('Verificación de Formulación'!S19="",'Verificación de Formulación'!S19=0),"",'Verificación de Formulación'!S19)</f>
        <v/>
      </c>
      <c r="R39" s="48" t="str">
        <f>IF(OR('Verificación de Formulación'!T19="",'Verificación de Formulación'!T19=0),"",'Verificación de Formulación'!T19)</f>
        <v/>
      </c>
      <c r="S39" s="48" t="str">
        <f>IF(OR('Verificación de Formulación'!U19="",'Verificación de Formulación'!U19=0),"",'Verificación de Formulación'!U19)</f>
        <v/>
      </c>
      <c r="T39" s="48" t="str">
        <f>IF(OR('Verificación de Formulación'!V19="",'Verificación de Formulación'!V19=0),"",'Verificación de Formulación'!V19)</f>
        <v/>
      </c>
      <c r="U39" s="48" t="str">
        <f>IF(OR('Verificación de Formulación'!W19="",'Verificación de Formulación'!W19=0),"",'Verificación de Formulación'!W19)</f>
        <v/>
      </c>
      <c r="V39" s="48" t="str">
        <f>IF(OR('Verificación de Formulación'!X19="",'Verificación de Formulación'!X19=0),"",'Verificación de Formulación'!X19)</f>
        <v/>
      </c>
      <c r="W39" s="48" t="str">
        <f>IF(OR('Verificación de Formulación'!Y19="",'Verificación de Formulación'!Y19=0),"",'Verificación de Formulación'!Y19)</f>
        <v/>
      </c>
      <c r="X39" s="48" t="str">
        <f>IF(OR('Verificación de Formulación'!Z19="",'Verificación de Formulación'!Z19=0),"",'Verificación de Formulación'!Z19)</f>
        <v/>
      </c>
      <c r="Y39" s="49" t="str">
        <f>IF(OR('Verificación de Formulación'!AA19="",'Verificación de Formulación'!AA19=0),"",'Verificación de Formulación'!AA19)</f>
        <v/>
      </c>
    </row>
    <row r="40" spans="1:25" x14ac:dyDescent="0.25">
      <c r="A40" s="35" t="str">
        <f>IF(OR('Verificación de Formulación'!D20="",'Verificación de Formulación'!D20=0),"",'Verificación de Formulación'!D20)</f>
        <v/>
      </c>
      <c r="B40" s="36" t="str">
        <f>IF(OR('Verificación de Formulación'!E20="",'Verificación de Formulación'!E20=0),"",'Verificación de Formulación'!E20)</f>
        <v/>
      </c>
      <c r="C40" s="36" t="str">
        <f>IF(OR('Verificación de Formulación'!F20="",'Verificación de Formulación'!F20=0),"",'Verificación de Formulación'!F20)</f>
        <v/>
      </c>
      <c r="D40" s="36" t="str">
        <f>IF(OR('Verificación de Formulación'!G20="",'Verificación de Formulación'!G20=0),"",'Verificación de Formulación'!G20)</f>
        <v/>
      </c>
      <c r="E40" s="36"/>
      <c r="F40" s="48" t="str">
        <f>IF(OR('Verificación de Formulación'!H20="",'Verificación de Formulación'!H20=0),"",'Verificación de Formulación'!H20)</f>
        <v/>
      </c>
      <c r="G40" s="48" t="str">
        <f>IF(OR('Verificación de Formulación'!I20="",'Verificación de Formulación'!I20=0),"",'Verificación de Formulación'!I20)</f>
        <v/>
      </c>
      <c r="H40" s="48" t="str">
        <f>IF(OR('Verificación de Formulación'!J20="",'Verificación de Formulación'!J20=0),"",'Verificación de Formulación'!J20)</f>
        <v/>
      </c>
      <c r="I40" s="48" t="str">
        <f>IF(OR('Verificación de Formulación'!K20="",'Verificación de Formulación'!K20=0),"",'Verificación de Formulación'!K20)</f>
        <v/>
      </c>
      <c r="J40" s="48" t="str">
        <f>IF(OR('Verificación de Formulación'!L20="",'Verificación de Formulación'!L20=0),"",'Verificación de Formulación'!L20)</f>
        <v/>
      </c>
      <c r="K40" s="48" t="str">
        <f>IF(OR('Verificación de Formulación'!M20="",'Verificación de Formulación'!M20=0),"",'Verificación de Formulación'!M20)</f>
        <v/>
      </c>
      <c r="L40" s="48" t="str">
        <f>IF(OR('Verificación de Formulación'!N20="",'Verificación de Formulación'!N20=0),"",'Verificación de Formulación'!N20)</f>
        <v/>
      </c>
      <c r="M40" s="48" t="str">
        <f>IF(OR('Verificación de Formulación'!O20="",'Verificación de Formulación'!O20=0),"",'Verificación de Formulación'!O20)</f>
        <v/>
      </c>
      <c r="N40" s="48" t="str">
        <f>IF(OR('Verificación de Formulación'!P20="",'Verificación de Formulación'!P20=0),"",'Verificación de Formulación'!P20)</f>
        <v/>
      </c>
      <c r="O40" s="48" t="str">
        <f>IF(OR('Verificación de Formulación'!Q20="",'Verificación de Formulación'!Q20=0),"",'Verificación de Formulación'!Q20)</f>
        <v/>
      </c>
      <c r="P40" s="48" t="str">
        <f>IF(OR('Verificación de Formulación'!R20="",'Verificación de Formulación'!R20=0),"",'Verificación de Formulación'!R20)</f>
        <v/>
      </c>
      <c r="Q40" s="48" t="str">
        <f>IF(OR('Verificación de Formulación'!S20="",'Verificación de Formulación'!S20=0),"",'Verificación de Formulación'!S20)</f>
        <v/>
      </c>
      <c r="R40" s="48" t="str">
        <f>IF(OR('Verificación de Formulación'!T20="",'Verificación de Formulación'!T20=0),"",'Verificación de Formulación'!T20)</f>
        <v/>
      </c>
      <c r="S40" s="48" t="str">
        <f>IF(OR('Verificación de Formulación'!U20="",'Verificación de Formulación'!U20=0),"",'Verificación de Formulación'!U20)</f>
        <v/>
      </c>
      <c r="T40" s="48" t="str">
        <f>IF(OR('Verificación de Formulación'!V20="",'Verificación de Formulación'!V20=0),"",'Verificación de Formulación'!V20)</f>
        <v/>
      </c>
      <c r="U40" s="48" t="str">
        <f>IF(OR('Verificación de Formulación'!W20="",'Verificación de Formulación'!W20=0),"",'Verificación de Formulación'!W20)</f>
        <v/>
      </c>
      <c r="V40" s="48" t="str">
        <f>IF(OR('Verificación de Formulación'!X20="",'Verificación de Formulación'!X20=0),"",'Verificación de Formulación'!X20)</f>
        <v/>
      </c>
      <c r="W40" s="48" t="str">
        <f>IF(OR('Verificación de Formulación'!Y20="",'Verificación de Formulación'!Y20=0),"",'Verificación de Formulación'!Y20)</f>
        <v/>
      </c>
      <c r="X40" s="48" t="str">
        <f>IF(OR('Verificación de Formulación'!Z20="",'Verificación de Formulación'!Z20=0),"",'Verificación de Formulación'!Z20)</f>
        <v/>
      </c>
      <c r="Y40" s="49" t="str">
        <f>IF(OR('Verificación de Formulación'!AA20="",'Verificación de Formulación'!AA20=0),"",'Verificación de Formulación'!AA20)</f>
        <v/>
      </c>
    </row>
    <row r="41" spans="1:25" x14ac:dyDescent="0.25">
      <c r="A41" s="35" t="str">
        <f>IF(OR('Verificación de Formulación'!D21="",'Verificación de Formulación'!D21=0),"",'Verificación de Formulación'!D21)</f>
        <v/>
      </c>
      <c r="B41" s="36" t="str">
        <f>IF(OR('Verificación de Formulación'!E21="",'Verificación de Formulación'!E21=0),"",'Verificación de Formulación'!E21)</f>
        <v/>
      </c>
      <c r="C41" s="36" t="str">
        <f>IF(OR('Verificación de Formulación'!F21="",'Verificación de Formulación'!F21=0),"",'Verificación de Formulación'!F21)</f>
        <v/>
      </c>
      <c r="D41" s="36" t="str">
        <f>IF(OR('Verificación de Formulación'!G21="",'Verificación de Formulación'!G21=0),"",'Verificación de Formulación'!G21)</f>
        <v/>
      </c>
      <c r="E41" s="36"/>
      <c r="F41" s="48" t="str">
        <f>IF(OR('Verificación de Formulación'!H21="",'Verificación de Formulación'!H21=0),"",'Verificación de Formulación'!H21)</f>
        <v/>
      </c>
      <c r="G41" s="48" t="str">
        <f>IF(OR('Verificación de Formulación'!I21="",'Verificación de Formulación'!I21=0),"",'Verificación de Formulación'!I21)</f>
        <v/>
      </c>
      <c r="H41" s="48" t="str">
        <f>IF(OR('Verificación de Formulación'!J21="",'Verificación de Formulación'!J21=0),"",'Verificación de Formulación'!J21)</f>
        <v/>
      </c>
      <c r="I41" s="48" t="str">
        <f>IF(OR('Verificación de Formulación'!K21="",'Verificación de Formulación'!K21=0),"",'Verificación de Formulación'!K21)</f>
        <v/>
      </c>
      <c r="J41" s="48" t="str">
        <f>IF(OR('Verificación de Formulación'!L21="",'Verificación de Formulación'!L21=0),"",'Verificación de Formulación'!L21)</f>
        <v/>
      </c>
      <c r="K41" s="48" t="str">
        <f>IF(OR('Verificación de Formulación'!M21="",'Verificación de Formulación'!M21=0),"",'Verificación de Formulación'!M21)</f>
        <v/>
      </c>
      <c r="L41" s="48" t="str">
        <f>IF(OR('Verificación de Formulación'!N21="",'Verificación de Formulación'!N21=0),"",'Verificación de Formulación'!N21)</f>
        <v/>
      </c>
      <c r="M41" s="48" t="str">
        <f>IF(OR('Verificación de Formulación'!O21="",'Verificación de Formulación'!O21=0),"",'Verificación de Formulación'!O21)</f>
        <v/>
      </c>
      <c r="N41" s="48" t="str">
        <f>IF(OR('Verificación de Formulación'!P21="",'Verificación de Formulación'!P21=0),"",'Verificación de Formulación'!P21)</f>
        <v/>
      </c>
      <c r="O41" s="48" t="str">
        <f>IF(OR('Verificación de Formulación'!Q21="",'Verificación de Formulación'!Q21=0),"",'Verificación de Formulación'!Q21)</f>
        <v/>
      </c>
      <c r="P41" s="48" t="str">
        <f>IF(OR('Verificación de Formulación'!R21="",'Verificación de Formulación'!R21=0),"",'Verificación de Formulación'!R21)</f>
        <v/>
      </c>
      <c r="Q41" s="48" t="str">
        <f>IF(OR('Verificación de Formulación'!S21="",'Verificación de Formulación'!S21=0),"",'Verificación de Formulación'!S21)</f>
        <v/>
      </c>
      <c r="R41" s="48" t="str">
        <f>IF(OR('Verificación de Formulación'!T21="",'Verificación de Formulación'!T21=0),"",'Verificación de Formulación'!T21)</f>
        <v/>
      </c>
      <c r="S41" s="48" t="str">
        <f>IF(OR('Verificación de Formulación'!U21="",'Verificación de Formulación'!U21=0),"",'Verificación de Formulación'!U21)</f>
        <v/>
      </c>
      <c r="T41" s="48" t="str">
        <f>IF(OR('Verificación de Formulación'!V21="",'Verificación de Formulación'!V21=0),"",'Verificación de Formulación'!V21)</f>
        <v/>
      </c>
      <c r="U41" s="48" t="str">
        <f>IF(OR('Verificación de Formulación'!W21="",'Verificación de Formulación'!W21=0),"",'Verificación de Formulación'!W21)</f>
        <v/>
      </c>
      <c r="V41" s="48" t="str">
        <f>IF(OR('Verificación de Formulación'!X21="",'Verificación de Formulación'!X21=0),"",'Verificación de Formulación'!X21)</f>
        <v/>
      </c>
      <c r="W41" s="48" t="str">
        <f>IF(OR('Verificación de Formulación'!Y21="",'Verificación de Formulación'!Y21=0),"",'Verificación de Formulación'!Y21)</f>
        <v/>
      </c>
      <c r="X41" s="48" t="str">
        <f>IF(OR('Verificación de Formulación'!Z21="",'Verificación de Formulación'!Z21=0),"",'Verificación de Formulación'!Z21)</f>
        <v/>
      </c>
      <c r="Y41" s="49" t="str">
        <f>IF(OR('Verificación de Formulación'!AA21="",'Verificación de Formulación'!AA21=0),"",'Verificación de Formulación'!AA21)</f>
        <v/>
      </c>
    </row>
    <row r="42" spans="1:25" x14ac:dyDescent="0.25">
      <c r="A42" s="35" t="str">
        <f>IF(OR('Verificación de Formulación'!D22="",'Verificación de Formulación'!D22=0),"",'Verificación de Formulación'!D22)</f>
        <v/>
      </c>
      <c r="B42" s="36" t="str">
        <f>IF(OR('Verificación de Formulación'!E22="",'Verificación de Formulación'!E22=0),"",'Verificación de Formulación'!E22)</f>
        <v/>
      </c>
      <c r="C42" s="36" t="str">
        <f>IF(OR('Verificación de Formulación'!F22="",'Verificación de Formulación'!F22=0),"",'Verificación de Formulación'!F22)</f>
        <v/>
      </c>
      <c r="D42" s="36" t="str">
        <f>IF(OR('Verificación de Formulación'!G22="",'Verificación de Formulación'!G22=0),"",'Verificación de Formulación'!G22)</f>
        <v/>
      </c>
      <c r="E42" s="36"/>
      <c r="F42" s="48" t="str">
        <f>IF(OR('Verificación de Formulación'!H22="",'Verificación de Formulación'!H22=0),"",'Verificación de Formulación'!H22)</f>
        <v/>
      </c>
      <c r="G42" s="48" t="str">
        <f>IF(OR('Verificación de Formulación'!I22="",'Verificación de Formulación'!I22=0),"",'Verificación de Formulación'!I22)</f>
        <v/>
      </c>
      <c r="H42" s="48" t="str">
        <f>IF(OR('Verificación de Formulación'!J22="",'Verificación de Formulación'!J22=0),"",'Verificación de Formulación'!J22)</f>
        <v/>
      </c>
      <c r="I42" s="48" t="str">
        <f>IF(OR('Verificación de Formulación'!K22="",'Verificación de Formulación'!K22=0),"",'Verificación de Formulación'!K22)</f>
        <v/>
      </c>
      <c r="J42" s="48" t="str">
        <f>IF(OR('Verificación de Formulación'!L22="",'Verificación de Formulación'!L22=0),"",'Verificación de Formulación'!L22)</f>
        <v/>
      </c>
      <c r="K42" s="48" t="str">
        <f>IF(OR('Verificación de Formulación'!M22="",'Verificación de Formulación'!M22=0),"",'Verificación de Formulación'!M22)</f>
        <v/>
      </c>
      <c r="L42" s="48" t="str">
        <f>IF(OR('Verificación de Formulación'!N22="",'Verificación de Formulación'!N22=0),"",'Verificación de Formulación'!N22)</f>
        <v/>
      </c>
      <c r="M42" s="48" t="str">
        <f>IF(OR('Verificación de Formulación'!O22="",'Verificación de Formulación'!O22=0),"",'Verificación de Formulación'!O22)</f>
        <v/>
      </c>
      <c r="N42" s="48" t="str">
        <f>IF(OR('Verificación de Formulación'!P22="",'Verificación de Formulación'!P22=0),"",'Verificación de Formulación'!P22)</f>
        <v/>
      </c>
      <c r="O42" s="48" t="str">
        <f>IF(OR('Verificación de Formulación'!Q22="",'Verificación de Formulación'!Q22=0),"",'Verificación de Formulación'!Q22)</f>
        <v/>
      </c>
      <c r="P42" s="48" t="str">
        <f>IF(OR('Verificación de Formulación'!R22="",'Verificación de Formulación'!R22=0),"",'Verificación de Formulación'!R22)</f>
        <v/>
      </c>
      <c r="Q42" s="48" t="str">
        <f>IF(OR('Verificación de Formulación'!S22="",'Verificación de Formulación'!S22=0),"",'Verificación de Formulación'!S22)</f>
        <v/>
      </c>
      <c r="R42" s="48" t="str">
        <f>IF(OR('Verificación de Formulación'!T22="",'Verificación de Formulación'!T22=0),"",'Verificación de Formulación'!T22)</f>
        <v/>
      </c>
      <c r="S42" s="48" t="str">
        <f>IF(OR('Verificación de Formulación'!U22="",'Verificación de Formulación'!U22=0),"",'Verificación de Formulación'!U22)</f>
        <v/>
      </c>
      <c r="T42" s="48" t="str">
        <f>IF(OR('Verificación de Formulación'!V22="",'Verificación de Formulación'!V22=0),"",'Verificación de Formulación'!V22)</f>
        <v/>
      </c>
      <c r="U42" s="48" t="str">
        <f>IF(OR('Verificación de Formulación'!W22="",'Verificación de Formulación'!W22=0),"",'Verificación de Formulación'!W22)</f>
        <v/>
      </c>
      <c r="V42" s="48" t="str">
        <f>IF(OR('Verificación de Formulación'!X22="",'Verificación de Formulación'!X22=0),"",'Verificación de Formulación'!X22)</f>
        <v/>
      </c>
      <c r="W42" s="48" t="str">
        <f>IF(OR('Verificación de Formulación'!Y22="",'Verificación de Formulación'!Y22=0),"",'Verificación de Formulación'!Y22)</f>
        <v/>
      </c>
      <c r="X42" s="48" t="str">
        <f>IF(OR('Verificación de Formulación'!Z22="",'Verificación de Formulación'!Z22=0),"",'Verificación de Formulación'!Z22)</f>
        <v/>
      </c>
      <c r="Y42" s="49" t="str">
        <f>IF(OR('Verificación de Formulación'!AA22="",'Verificación de Formulación'!AA22=0),"",'Verificación de Formulación'!AA22)</f>
        <v/>
      </c>
    </row>
    <row r="43" spans="1:25" ht="15.75" thickBot="1" x14ac:dyDescent="0.3">
      <c r="A43" s="38" t="str">
        <f>IF(OR('Verificación de Formulación'!D23="",'Verificación de Formulación'!D23=0),"",'Verificación de Formulación'!D23)</f>
        <v/>
      </c>
      <c r="B43" s="39" t="str">
        <f>IF(OR('Verificación de Formulación'!E23="",'Verificación de Formulación'!E23=0),"",'Verificación de Formulación'!E23)</f>
        <v/>
      </c>
      <c r="C43" s="39" t="str">
        <f>IF(OR('Verificación de Formulación'!F23="",'Verificación de Formulación'!F23=0),"",'Verificación de Formulación'!F23)</f>
        <v/>
      </c>
      <c r="D43" s="39" t="str">
        <f>IF(OR('Verificación de Formulación'!G23="",'Verificación de Formulación'!G23=0),"",'Verificación de Formulación'!G23)</f>
        <v/>
      </c>
      <c r="E43" s="39"/>
      <c r="F43" s="50" t="str">
        <f>IF(OR('Verificación de Formulación'!H23="",'Verificación de Formulación'!H23=0),"",'Verificación de Formulación'!H23)</f>
        <v/>
      </c>
      <c r="G43" s="50" t="str">
        <f>IF(OR('Verificación de Formulación'!I23="",'Verificación de Formulación'!I23=0),"",'Verificación de Formulación'!I23)</f>
        <v/>
      </c>
      <c r="H43" s="50" t="str">
        <f>IF(OR('Verificación de Formulación'!J23="",'Verificación de Formulación'!J23=0),"",'Verificación de Formulación'!J23)</f>
        <v/>
      </c>
      <c r="I43" s="50" t="str">
        <f>IF(OR('Verificación de Formulación'!K23="",'Verificación de Formulación'!K23=0),"",'Verificación de Formulación'!K23)</f>
        <v/>
      </c>
      <c r="J43" s="50" t="str">
        <f>IF(OR('Verificación de Formulación'!L23="",'Verificación de Formulación'!L23=0),"",'Verificación de Formulación'!L23)</f>
        <v/>
      </c>
      <c r="K43" s="50" t="str">
        <f>IF(OR('Verificación de Formulación'!M23="",'Verificación de Formulación'!M23=0),"",'Verificación de Formulación'!M23)</f>
        <v/>
      </c>
      <c r="L43" s="50" t="str">
        <f>IF(OR('Verificación de Formulación'!N23="",'Verificación de Formulación'!N23=0),"",'Verificación de Formulación'!N23)</f>
        <v/>
      </c>
      <c r="M43" s="50" t="str">
        <f>IF(OR('Verificación de Formulación'!O23="",'Verificación de Formulación'!O23=0),"",'Verificación de Formulación'!O23)</f>
        <v/>
      </c>
      <c r="N43" s="50" t="str">
        <f>IF(OR('Verificación de Formulación'!P23="",'Verificación de Formulación'!P23=0),"",'Verificación de Formulación'!P23)</f>
        <v/>
      </c>
      <c r="O43" s="50" t="str">
        <f>IF(OR('Verificación de Formulación'!Q23="",'Verificación de Formulación'!Q23=0),"",'Verificación de Formulación'!Q23)</f>
        <v/>
      </c>
      <c r="P43" s="50" t="str">
        <f>IF(OR('Verificación de Formulación'!R23="",'Verificación de Formulación'!R23=0),"",'Verificación de Formulación'!R23)</f>
        <v/>
      </c>
      <c r="Q43" s="50" t="str">
        <f>IF(OR('Verificación de Formulación'!S23="",'Verificación de Formulación'!S23=0),"",'Verificación de Formulación'!S23)</f>
        <v/>
      </c>
      <c r="R43" s="50" t="str">
        <f>IF(OR('Verificación de Formulación'!T23="",'Verificación de Formulación'!T23=0),"",'Verificación de Formulación'!T23)</f>
        <v/>
      </c>
      <c r="S43" s="50" t="str">
        <f>IF(OR('Verificación de Formulación'!U23="",'Verificación de Formulación'!U23=0),"",'Verificación de Formulación'!U23)</f>
        <v/>
      </c>
      <c r="T43" s="50" t="str">
        <f>IF(OR('Verificación de Formulación'!V23="",'Verificación de Formulación'!V23=0),"",'Verificación de Formulación'!V23)</f>
        <v/>
      </c>
      <c r="U43" s="50" t="str">
        <f>IF(OR('Verificación de Formulación'!W23="",'Verificación de Formulación'!W23=0),"",'Verificación de Formulación'!W23)</f>
        <v/>
      </c>
      <c r="V43" s="50" t="str">
        <f>IF(OR('Verificación de Formulación'!X23="",'Verificación de Formulación'!X23=0),"",'Verificación de Formulación'!X23)</f>
        <v/>
      </c>
      <c r="W43" s="50" t="str">
        <f>IF(OR('Verificación de Formulación'!Y23="",'Verificación de Formulación'!Y23=0),"",'Verificación de Formulación'!Y23)</f>
        <v/>
      </c>
      <c r="X43" s="50" t="str">
        <f>IF(OR('Verificación de Formulación'!Z23="",'Verificación de Formulación'!Z23=0),"",'Verificación de Formulación'!Z23)</f>
        <v/>
      </c>
      <c r="Y43" s="51" t="str">
        <f>IF(OR('Verificación de Formulación'!AA23="",'Verificación de Formulación'!AA23=0),"",'Verificación de Formulación'!AA23)</f>
        <v/>
      </c>
    </row>
  </sheetData>
  <protectedRanges>
    <protectedRange algorithmName="SHA-512" hashValue="ep8VFliYGonDSPqV0wHljx0zzaU8xRLExgHFAoUshj1V0ZUvWuoHilO9KDOrS0F/iTXxKpPBtoV4c72wVmqnkQ==" saltValue="q8zEyBRq74YiC2dbnNRMXg==" spinCount="100000" sqref="C4:Y5 D16:Y16 C17:Y43 C7:Y15 D6:Y6" name="Rango1"/>
  </protectedRange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BA67-A173-4AEB-821C-43FE0C2682E8}">
  <sheetPr codeName="Hoja12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114</v>
      </c>
      <c r="B6" s="70" t="s">
        <v>122</v>
      </c>
      <c r="C6" s="54">
        <v>563</v>
      </c>
      <c r="D6" s="58" t="s">
        <v>115</v>
      </c>
      <c r="E6" s="69">
        <v>10500</v>
      </c>
      <c r="F6" s="7">
        <v>563140425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6.0000000000000001E-3</v>
      </c>
      <c r="P6" s="8">
        <v>0.28000000000000003</v>
      </c>
      <c r="Q6" s="8">
        <v>5.8999999999999997E-2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0.182</v>
      </c>
      <c r="Z6" s="8">
        <v>0</v>
      </c>
      <c r="AA6" s="8">
        <v>0</v>
      </c>
    </row>
    <row r="7" spans="1:27" ht="19.5" x14ac:dyDescent="0.25">
      <c r="A7" s="55" t="s">
        <v>114</v>
      </c>
      <c r="B7" s="55" t="s">
        <v>122</v>
      </c>
      <c r="C7" s="55">
        <v>563</v>
      </c>
      <c r="D7" s="55" t="s">
        <v>115</v>
      </c>
      <c r="E7" s="55">
        <v>10500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3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/>
      <c r="H8" s="8"/>
      <c r="I8" s="8"/>
      <c r="J8" s="8"/>
      <c r="K8" s="8"/>
      <c r="L8" s="8"/>
      <c r="M8" s="8"/>
      <c r="N8" s="8"/>
      <c r="O8" s="8"/>
      <c r="P8" s="8">
        <v>0.24640000000000001</v>
      </c>
      <c r="Q8" s="8">
        <v>4.7500000000000001E-2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115</v>
      </c>
      <c r="E9" s="60"/>
      <c r="F9" s="61"/>
      <c r="G9" s="77"/>
      <c r="H9" s="8"/>
      <c r="I9" s="8"/>
      <c r="J9" s="8"/>
      <c r="K9" s="8"/>
      <c r="L9" s="8"/>
      <c r="M9" s="8"/>
      <c r="N9" s="8"/>
      <c r="O9" s="8"/>
      <c r="P9" s="8">
        <v>0.28000000000000003</v>
      </c>
      <c r="Q9" s="8">
        <v>0.06</v>
      </c>
      <c r="R9" s="8">
        <v>0.01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/>
      <c r="H10" s="8"/>
      <c r="I10" s="8"/>
      <c r="J10" s="8"/>
      <c r="K10" s="8"/>
      <c r="L10" s="8"/>
      <c r="M10" s="8"/>
      <c r="N10" s="8"/>
      <c r="O10" s="8"/>
      <c r="P10" s="8">
        <v>0.31360000000000005</v>
      </c>
      <c r="Q10" s="8">
        <v>7.2499999999999995E-2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600</v>
      </c>
      <c r="G16" s="9">
        <v>60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85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>
        <v>274</v>
      </c>
      <c r="E18" s="9" t="s">
        <v>40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0.36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0.39600000000000002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Yvzb7PKPt1C3G4EgHMlgBUgY8FABRPIjtNemztKXGtpTb29ZRvthnaBxdRyT0wiCAYGxxQHP9ttGz5gZO+wg8g==" saltValue="oDU2DQ6V7CoxBCOWdCZaE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347" priority="29">
      <formula>LEN(TRIM(C6))=0</formula>
    </cfRule>
  </conditionalFormatting>
  <conditionalFormatting sqref="H15:AA23 H6:AA6">
    <cfRule type="cellIs" dxfId="346" priority="28" operator="equal">
      <formula>0</formula>
    </cfRule>
  </conditionalFormatting>
  <conditionalFormatting sqref="G15:G23">
    <cfRule type="cellIs" dxfId="345" priority="26" operator="equal">
      <formula>0</formula>
    </cfRule>
    <cfRule type="containsBlanks" dxfId="344" priority="27">
      <formula>LEN(TRIM(G15))=0</formula>
    </cfRule>
  </conditionalFormatting>
  <conditionalFormatting sqref="H5:AA5">
    <cfRule type="containsBlanks" dxfId="343" priority="25">
      <formula>LEN(TRIM(H5))=0</formula>
    </cfRule>
  </conditionalFormatting>
  <conditionalFormatting sqref="G5">
    <cfRule type="containsBlanks" dxfId="342" priority="24">
      <formula>LEN(TRIM(G5))=0</formula>
    </cfRule>
  </conditionalFormatting>
  <conditionalFormatting sqref="F6:G6">
    <cfRule type="containsBlanks" dxfId="341" priority="23">
      <formula>LEN(TRIM(F6))=0</formula>
    </cfRule>
  </conditionalFormatting>
  <conditionalFormatting sqref="H14:AA14">
    <cfRule type="containsBlanks" dxfId="340" priority="22">
      <formula>LEN(TRIM(H14))=0</formula>
    </cfRule>
  </conditionalFormatting>
  <conditionalFormatting sqref="D5">
    <cfRule type="containsBlanks" dxfId="339" priority="21">
      <formula>LEN(TRIM(D5))=0</formula>
    </cfRule>
  </conditionalFormatting>
  <conditionalFormatting sqref="C5">
    <cfRule type="containsBlanks" dxfId="338" priority="20">
      <formula>LEN(TRIM(C5))=0</formula>
    </cfRule>
  </conditionalFormatting>
  <conditionalFormatting sqref="D14">
    <cfRule type="containsBlanks" dxfId="337" priority="19">
      <formula>LEN(TRIM(D14))=0</formula>
    </cfRule>
  </conditionalFormatting>
  <conditionalFormatting sqref="G8:AA8 G10:AA10">
    <cfRule type="containsBlanks" dxfId="336" priority="18">
      <formula>LEN(TRIM(G8))=0</formula>
    </cfRule>
  </conditionalFormatting>
  <conditionalFormatting sqref="G8:AA8 G10:AA10">
    <cfRule type="cellIs" dxfId="335" priority="17" operator="equal">
      <formula>0</formula>
    </cfRule>
  </conditionalFormatting>
  <conditionalFormatting sqref="G7:AA7">
    <cfRule type="containsBlanks" dxfId="334" priority="16">
      <formula>LEN(TRIM(G7))=0</formula>
    </cfRule>
  </conditionalFormatting>
  <conditionalFormatting sqref="G7:AA7">
    <cfRule type="cellIs" dxfId="333" priority="15" operator="equal">
      <formula>0</formula>
    </cfRule>
  </conditionalFormatting>
  <conditionalFormatting sqref="A5">
    <cfRule type="containsBlanks" dxfId="332" priority="13">
      <formula>LEN(TRIM(A5))=0</formula>
    </cfRule>
  </conditionalFormatting>
  <conditionalFormatting sqref="F7">
    <cfRule type="containsBlanks" dxfId="331" priority="14">
      <formula>LEN(TRIM(F7))=0</formula>
    </cfRule>
  </conditionalFormatting>
  <conditionalFormatting sqref="B5">
    <cfRule type="containsBlanks" dxfId="330" priority="12">
      <formula>LEN(TRIM(B5))=0</formula>
    </cfRule>
  </conditionalFormatting>
  <conditionalFormatting sqref="A7:E7">
    <cfRule type="containsBlanks" dxfId="329" priority="11">
      <formula>LEN(TRIM(A7))=0</formula>
    </cfRule>
  </conditionalFormatting>
  <conditionalFormatting sqref="G9">
    <cfRule type="containsBlanks" dxfId="328" priority="10">
      <formula>LEN(TRIM(G9))=0</formula>
    </cfRule>
  </conditionalFormatting>
  <conditionalFormatting sqref="H9:AA9">
    <cfRule type="containsBlanks" dxfId="327" priority="9">
      <formula>LEN(TRIM(H9))=0</formula>
    </cfRule>
  </conditionalFormatting>
  <conditionalFormatting sqref="H9:AA9">
    <cfRule type="cellIs" dxfId="326" priority="8" operator="equal">
      <formula>0</formula>
    </cfRule>
  </conditionalFormatting>
  <conditionalFormatting sqref="E5">
    <cfRule type="containsBlanks" dxfId="325" priority="7">
      <formula>LEN(TRIM(E5))=0</formula>
    </cfRule>
  </conditionalFormatting>
  <conditionalFormatting sqref="F5">
    <cfRule type="containsBlanks" dxfId="324" priority="6">
      <formula>LEN(TRIM(F5))=0</formula>
    </cfRule>
  </conditionalFormatting>
  <conditionalFormatting sqref="E6">
    <cfRule type="containsBlanks" dxfId="323" priority="5">
      <formula>LEN(TRIM(E6))=0</formula>
    </cfRule>
  </conditionalFormatting>
  <conditionalFormatting sqref="D6">
    <cfRule type="containsBlanks" dxfId="322" priority="4">
      <formula>LEN(TRIM(D6))=0</formula>
    </cfRule>
  </conditionalFormatting>
  <conditionalFormatting sqref="C6">
    <cfRule type="containsBlanks" dxfId="321" priority="3">
      <formula>LEN(TRIM(C6))=0</formula>
    </cfRule>
  </conditionalFormatting>
  <conditionalFormatting sqref="A6">
    <cfRule type="containsBlanks" dxfId="320" priority="2">
      <formula>LEN(TRIM(A6))=0</formula>
    </cfRule>
  </conditionalFormatting>
  <conditionalFormatting sqref="B6">
    <cfRule type="containsBlanks" dxfId="319" priority="1">
      <formula>LEN(TRIM(B6))=0</formula>
    </cfRule>
  </conditionalFormatting>
  <dataValidations count="1">
    <dataValidation type="list" allowBlank="1" showInputMessage="1" showErrorMessage="1" sqref="E15:E23 E26:E27" xr:uid="{290410AB-D209-4CD8-A24A-E72DF7CDB45B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0C662-C682-4B34-BC78-2E27FA32AFC8}">
  <sheetPr codeName="Hoja6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127</v>
      </c>
      <c r="B6" s="70" t="s">
        <v>122</v>
      </c>
      <c r="C6" s="54">
        <v>510</v>
      </c>
      <c r="D6" s="58" t="s">
        <v>128</v>
      </c>
      <c r="E6" s="69">
        <v>4000</v>
      </c>
      <c r="F6" s="7">
        <v>510140425</v>
      </c>
      <c r="G6" s="77">
        <v>0.57299999999999995</v>
      </c>
      <c r="H6" s="8">
        <v>0</v>
      </c>
      <c r="I6" s="8">
        <v>7.1999999999999995E-2</v>
      </c>
      <c r="J6" s="8">
        <v>4.0000000000000001E-3</v>
      </c>
      <c r="K6" s="8">
        <v>0</v>
      </c>
      <c r="L6" s="8">
        <v>0</v>
      </c>
      <c r="M6" s="8">
        <v>3.5000000000000003E-2</v>
      </c>
      <c r="N6" s="8">
        <v>0.16500000000000001</v>
      </c>
      <c r="O6" s="8">
        <v>0.33600000000000002</v>
      </c>
      <c r="P6" s="8">
        <v>3.0000000000000001E-3</v>
      </c>
      <c r="Q6" s="8">
        <v>3.0000000000000001E-3</v>
      </c>
      <c r="R6" s="8">
        <v>5.0000000000000001E-3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2E-3</v>
      </c>
      <c r="Z6" s="8">
        <v>0</v>
      </c>
      <c r="AA6" s="8">
        <v>0</v>
      </c>
    </row>
    <row r="7" spans="1:27" ht="19.5" x14ac:dyDescent="0.25">
      <c r="A7" s="55" t="s">
        <v>127</v>
      </c>
      <c r="B7" s="55" t="s">
        <v>122</v>
      </c>
      <c r="C7" s="55">
        <v>510</v>
      </c>
      <c r="D7" s="55" t="s">
        <v>128</v>
      </c>
      <c r="E7" s="55">
        <v>4000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139</v>
      </c>
      <c r="Q7" s="8" t="s">
        <v>3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/>
      <c r="H8" s="8"/>
      <c r="I8" s="8"/>
      <c r="J8" s="8"/>
      <c r="K8" s="8"/>
      <c r="L8" s="8"/>
      <c r="M8" s="8"/>
      <c r="N8" s="8"/>
      <c r="O8" s="8"/>
      <c r="P8" s="8">
        <v>0.24640000000000001</v>
      </c>
      <c r="Q8" s="8">
        <v>4.7500000000000001E-2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128</v>
      </c>
      <c r="E9" s="60"/>
      <c r="F9" s="61"/>
      <c r="G9" s="77"/>
      <c r="H9" s="8"/>
      <c r="I9" s="8"/>
      <c r="J9" s="8"/>
      <c r="K9" s="8"/>
      <c r="L9" s="8"/>
      <c r="M9" s="8"/>
      <c r="N9" s="8"/>
      <c r="O9" s="8"/>
      <c r="P9" s="8">
        <v>0.28000000000000003</v>
      </c>
      <c r="Q9" s="8">
        <v>0.06</v>
      </c>
      <c r="R9" s="8">
        <v>0.01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/>
      <c r="H10" s="8"/>
      <c r="I10" s="8"/>
      <c r="J10" s="8"/>
      <c r="K10" s="8"/>
      <c r="L10" s="8"/>
      <c r="M10" s="8"/>
      <c r="N10" s="8"/>
      <c r="O10" s="8"/>
      <c r="P10" s="8">
        <v>0.31360000000000005</v>
      </c>
      <c r="Q10" s="8">
        <v>7.2499999999999995E-2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76.25</v>
      </c>
      <c r="G15" s="9">
        <v>7.625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18.75</v>
      </c>
      <c r="G16" s="9">
        <v>1.875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5</v>
      </c>
      <c r="G17" s="9">
        <v>0.5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72</v>
      </c>
      <c r="E18" s="9" t="s">
        <v>132</v>
      </c>
      <c r="F18" s="9">
        <v>330</v>
      </c>
      <c r="G18" s="9">
        <v>33</v>
      </c>
      <c r="H18" s="10">
        <v>0</v>
      </c>
      <c r="I18" s="10">
        <v>0.1</v>
      </c>
      <c r="J18" s="10">
        <v>0</v>
      </c>
      <c r="K18" s="10">
        <v>0</v>
      </c>
      <c r="L18" s="10">
        <v>0</v>
      </c>
      <c r="M18" s="10">
        <v>0</v>
      </c>
      <c r="N18" s="10">
        <v>0.5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560</v>
      </c>
      <c r="G19" s="9">
        <v>56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160</v>
      </c>
      <c r="E20" s="9" t="s">
        <v>138</v>
      </c>
      <c r="F20" s="9">
        <v>10</v>
      </c>
      <c r="G20" s="9">
        <v>1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0.03</v>
      </c>
      <c r="P20" s="10">
        <v>0.27</v>
      </c>
      <c r="Q20" s="10">
        <v>0.115</v>
      </c>
      <c r="R20" s="10">
        <v>3.5000000000000003E-2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3.5000000000000003E-2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450</v>
      </c>
      <c r="E26" s="9" t="s">
        <v>134</v>
      </c>
      <c r="F26" s="9">
        <v>0.255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/HNvgU5qCcHudA2f4rcRCqsGt6uxIqgQimRYOjegh7VJFHPPrWgOyd/MZDH7fiATYWsOYvY9fryk+um5l/5vtg==" saltValue="eAKNqo6b9vkG/kF34ezJd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318" priority="29">
      <formula>LEN(TRIM(C6))=0</formula>
    </cfRule>
  </conditionalFormatting>
  <conditionalFormatting sqref="H15:AA23 H6:AA6">
    <cfRule type="cellIs" dxfId="317" priority="28" operator="equal">
      <formula>0</formula>
    </cfRule>
  </conditionalFormatting>
  <conditionalFormatting sqref="G15:G23">
    <cfRule type="cellIs" dxfId="316" priority="26" operator="equal">
      <formula>0</formula>
    </cfRule>
    <cfRule type="containsBlanks" dxfId="315" priority="27">
      <formula>LEN(TRIM(G15))=0</formula>
    </cfRule>
  </conditionalFormatting>
  <conditionalFormatting sqref="H5:AA5">
    <cfRule type="containsBlanks" dxfId="314" priority="25">
      <formula>LEN(TRIM(H5))=0</formula>
    </cfRule>
  </conditionalFormatting>
  <conditionalFormatting sqref="G5">
    <cfRule type="containsBlanks" dxfId="313" priority="24">
      <formula>LEN(TRIM(G5))=0</formula>
    </cfRule>
  </conditionalFormatting>
  <conditionalFormatting sqref="F6:G6">
    <cfRule type="containsBlanks" dxfId="312" priority="23">
      <formula>LEN(TRIM(F6))=0</formula>
    </cfRule>
  </conditionalFormatting>
  <conditionalFormatting sqref="H14:AA14">
    <cfRule type="containsBlanks" dxfId="311" priority="22">
      <formula>LEN(TRIM(H14))=0</formula>
    </cfRule>
  </conditionalFormatting>
  <conditionalFormatting sqref="D5">
    <cfRule type="containsBlanks" dxfId="310" priority="21">
      <formula>LEN(TRIM(D5))=0</formula>
    </cfRule>
  </conditionalFormatting>
  <conditionalFormatting sqref="C5">
    <cfRule type="containsBlanks" dxfId="309" priority="20">
      <formula>LEN(TRIM(C5))=0</formula>
    </cfRule>
  </conditionalFormatting>
  <conditionalFormatting sqref="D14">
    <cfRule type="containsBlanks" dxfId="308" priority="19">
      <formula>LEN(TRIM(D14))=0</formula>
    </cfRule>
  </conditionalFormatting>
  <conditionalFormatting sqref="G8:AA8 G10:AA10">
    <cfRule type="containsBlanks" dxfId="307" priority="18">
      <formula>LEN(TRIM(G8))=0</formula>
    </cfRule>
  </conditionalFormatting>
  <conditionalFormatting sqref="G8:AA8 G10:AA10">
    <cfRule type="cellIs" dxfId="306" priority="17" operator="equal">
      <formula>0</formula>
    </cfRule>
  </conditionalFormatting>
  <conditionalFormatting sqref="G7:AA7">
    <cfRule type="containsBlanks" dxfId="305" priority="16">
      <formula>LEN(TRIM(G7))=0</formula>
    </cfRule>
  </conditionalFormatting>
  <conditionalFormatting sqref="G7:AA7">
    <cfRule type="cellIs" dxfId="304" priority="15" operator="equal">
      <formula>0</formula>
    </cfRule>
  </conditionalFormatting>
  <conditionalFormatting sqref="A5">
    <cfRule type="containsBlanks" dxfId="303" priority="13">
      <formula>LEN(TRIM(A5))=0</formula>
    </cfRule>
  </conditionalFormatting>
  <conditionalFormatting sqref="F7">
    <cfRule type="containsBlanks" dxfId="302" priority="14">
      <formula>LEN(TRIM(F7))=0</formula>
    </cfRule>
  </conditionalFormatting>
  <conditionalFormatting sqref="B5">
    <cfRule type="containsBlanks" dxfId="301" priority="12">
      <formula>LEN(TRIM(B5))=0</formula>
    </cfRule>
  </conditionalFormatting>
  <conditionalFormatting sqref="A7:E7">
    <cfRule type="containsBlanks" dxfId="300" priority="11">
      <formula>LEN(TRIM(A7))=0</formula>
    </cfRule>
  </conditionalFormatting>
  <conditionalFormatting sqref="G9">
    <cfRule type="containsBlanks" dxfId="299" priority="10">
      <formula>LEN(TRIM(G9))=0</formula>
    </cfRule>
  </conditionalFormatting>
  <conditionalFormatting sqref="H9:AA9">
    <cfRule type="containsBlanks" dxfId="298" priority="9">
      <formula>LEN(TRIM(H9))=0</formula>
    </cfRule>
  </conditionalFormatting>
  <conditionalFormatting sqref="H9:AA9">
    <cfRule type="cellIs" dxfId="297" priority="8" operator="equal">
      <formula>0</formula>
    </cfRule>
  </conditionalFormatting>
  <conditionalFormatting sqref="E5">
    <cfRule type="containsBlanks" dxfId="296" priority="7">
      <formula>LEN(TRIM(E5))=0</formula>
    </cfRule>
  </conditionalFormatting>
  <conditionalFormatting sqref="F5">
    <cfRule type="containsBlanks" dxfId="295" priority="6">
      <formula>LEN(TRIM(F5))=0</formula>
    </cfRule>
  </conditionalFormatting>
  <conditionalFormatting sqref="E6">
    <cfRule type="containsBlanks" dxfId="294" priority="5">
      <formula>LEN(TRIM(E6))=0</formula>
    </cfRule>
  </conditionalFormatting>
  <conditionalFormatting sqref="D6">
    <cfRule type="containsBlanks" dxfId="293" priority="4">
      <formula>LEN(TRIM(D6))=0</formula>
    </cfRule>
  </conditionalFormatting>
  <conditionalFormatting sqref="C6">
    <cfRule type="containsBlanks" dxfId="292" priority="3">
      <formula>LEN(TRIM(C6))=0</formula>
    </cfRule>
  </conditionalFormatting>
  <conditionalFormatting sqref="A6">
    <cfRule type="containsBlanks" dxfId="291" priority="2">
      <formula>LEN(TRIM(A6))=0</formula>
    </cfRule>
  </conditionalFormatting>
  <conditionalFormatting sqref="B6">
    <cfRule type="containsBlanks" dxfId="290" priority="1">
      <formula>LEN(TRIM(B6))=0</formula>
    </cfRule>
  </conditionalFormatting>
  <dataValidations count="1">
    <dataValidation type="list" allowBlank="1" showInputMessage="1" showErrorMessage="1" sqref="E15:E23 E26:E27" xr:uid="{54F5839E-0A50-49ED-BF29-7628BBDF6E1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9C2E-2794-4E01-83E7-16B8C9A35DDE}">
  <sheetPr codeName="Hoja13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140</v>
      </c>
      <c r="B6" s="70" t="s">
        <v>122</v>
      </c>
      <c r="C6" s="54">
        <v>489</v>
      </c>
      <c r="D6" s="58" t="s">
        <v>141</v>
      </c>
      <c r="E6" s="69">
        <v>7000</v>
      </c>
      <c r="F6" s="7">
        <v>489140425</v>
      </c>
      <c r="G6" s="77">
        <v>0.56899999999999995</v>
      </c>
      <c r="H6" s="8">
        <v>0</v>
      </c>
      <c r="I6" s="8">
        <v>0.12</v>
      </c>
      <c r="J6" s="8">
        <v>5.0000000000000001E-3</v>
      </c>
      <c r="K6" s="8">
        <v>0</v>
      </c>
      <c r="L6" s="8">
        <v>0</v>
      </c>
      <c r="M6" s="8">
        <v>4.3999999999999997E-2</v>
      </c>
      <c r="N6" s="8">
        <v>0.35</v>
      </c>
      <c r="O6" s="8">
        <v>9.9000000000000005E-2</v>
      </c>
      <c r="P6" s="8">
        <v>0</v>
      </c>
      <c r="Q6" s="8">
        <v>5.0000000000000001E-3</v>
      </c>
      <c r="R6" s="8">
        <v>6.0000000000000001E-3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5.0000000000000001E-3</v>
      </c>
      <c r="Z6" s="8">
        <v>0</v>
      </c>
      <c r="AA6" s="8">
        <v>0</v>
      </c>
    </row>
    <row r="7" spans="1:27" ht="19.5" x14ac:dyDescent="0.25">
      <c r="A7" s="55" t="s">
        <v>140</v>
      </c>
      <c r="B7" s="55" t="s">
        <v>122</v>
      </c>
      <c r="C7" s="55">
        <v>489</v>
      </c>
      <c r="D7" s="55" t="s">
        <v>141</v>
      </c>
      <c r="E7" s="55">
        <v>7000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0.53999999999999992</v>
      </c>
      <c r="H8" s="8"/>
      <c r="I8" s="8">
        <v>0.11894300000000001</v>
      </c>
      <c r="J8" s="8"/>
      <c r="K8" s="8"/>
      <c r="L8" s="8"/>
      <c r="M8" s="8"/>
      <c r="N8" s="8">
        <v>0.34507899999999997</v>
      </c>
      <c r="O8" s="8">
        <v>8.9069000000000009E-2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141</v>
      </c>
      <c r="E9" s="60"/>
      <c r="F9" s="61"/>
      <c r="G9" s="77">
        <v>0.59</v>
      </c>
      <c r="H9" s="8"/>
      <c r="I9" s="8">
        <v>0.13</v>
      </c>
      <c r="J9" s="8"/>
      <c r="K9" s="8"/>
      <c r="L9" s="8"/>
      <c r="M9" s="8"/>
      <c r="N9" s="8">
        <v>0.36</v>
      </c>
      <c r="O9" s="8">
        <v>0.1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0.64</v>
      </c>
      <c r="H10" s="8"/>
      <c r="I10" s="8">
        <v>0.14105700000000002</v>
      </c>
      <c r="J10" s="8"/>
      <c r="K10" s="8"/>
      <c r="L10" s="8"/>
      <c r="M10" s="8"/>
      <c r="N10" s="8">
        <v>0.374921</v>
      </c>
      <c r="O10" s="8">
        <v>0.110931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95</v>
      </c>
      <c r="G15" s="9">
        <v>9.5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25</v>
      </c>
      <c r="G16" s="9">
        <v>2.5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15</v>
      </c>
      <c r="G17" s="9">
        <v>1.5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72</v>
      </c>
      <c r="E18" s="9" t="s">
        <v>132</v>
      </c>
      <c r="F18" s="9">
        <v>690</v>
      </c>
      <c r="G18" s="9">
        <v>69</v>
      </c>
      <c r="H18" s="10">
        <v>0</v>
      </c>
      <c r="I18" s="10">
        <v>0.1</v>
      </c>
      <c r="J18" s="10">
        <v>0</v>
      </c>
      <c r="K18" s="10">
        <v>0</v>
      </c>
      <c r="L18" s="10">
        <v>0</v>
      </c>
      <c r="M18" s="10">
        <v>0</v>
      </c>
      <c r="N18" s="10">
        <v>0.5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97</v>
      </c>
      <c r="E19" s="9" t="s">
        <v>142</v>
      </c>
      <c r="F19" s="9">
        <v>10</v>
      </c>
      <c r="G19" s="9">
        <v>1</v>
      </c>
      <c r="H19" s="10">
        <v>0</v>
      </c>
      <c r="I19" s="10">
        <v>0.18</v>
      </c>
      <c r="J19" s="10">
        <v>0</v>
      </c>
      <c r="K19" s="10">
        <v>0</v>
      </c>
      <c r="L19" s="10">
        <v>0</v>
      </c>
      <c r="M19" s="10">
        <v>0</v>
      </c>
      <c r="N19" s="10">
        <v>0.46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144</v>
      </c>
      <c r="E20" s="9" t="s">
        <v>133</v>
      </c>
      <c r="F20" s="9">
        <v>165</v>
      </c>
      <c r="G20" s="9">
        <v>16.5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0.6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450</v>
      </c>
      <c r="E26" s="9" t="s">
        <v>134</v>
      </c>
      <c r="F26" s="9">
        <v>0.36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DR5YUsJBIzqMISC7mKhkCfAP8X6D/+kGKu8iHhtjAk1qwWPtwReiicplEjx1/WBNDm4rEjwnN4A2y37lqijdUQ==" saltValue="ahzUOaT/QS+1XgZOhCjAX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289" priority="29">
      <formula>LEN(TRIM(C6))=0</formula>
    </cfRule>
  </conditionalFormatting>
  <conditionalFormatting sqref="H15:AA23 H6:AA6">
    <cfRule type="cellIs" dxfId="288" priority="28" operator="equal">
      <formula>0</formula>
    </cfRule>
  </conditionalFormatting>
  <conditionalFormatting sqref="G15:G23">
    <cfRule type="cellIs" dxfId="287" priority="26" operator="equal">
      <formula>0</formula>
    </cfRule>
    <cfRule type="containsBlanks" dxfId="286" priority="27">
      <formula>LEN(TRIM(G15))=0</formula>
    </cfRule>
  </conditionalFormatting>
  <conditionalFormatting sqref="H5:AA5">
    <cfRule type="containsBlanks" dxfId="285" priority="25">
      <formula>LEN(TRIM(H5))=0</formula>
    </cfRule>
  </conditionalFormatting>
  <conditionalFormatting sqref="G5">
    <cfRule type="containsBlanks" dxfId="284" priority="24">
      <formula>LEN(TRIM(G5))=0</formula>
    </cfRule>
  </conditionalFormatting>
  <conditionalFormatting sqref="F6:G6">
    <cfRule type="containsBlanks" dxfId="283" priority="23">
      <formula>LEN(TRIM(F6))=0</formula>
    </cfRule>
  </conditionalFormatting>
  <conditionalFormatting sqref="H14:AA14">
    <cfRule type="containsBlanks" dxfId="282" priority="22">
      <formula>LEN(TRIM(H14))=0</formula>
    </cfRule>
  </conditionalFormatting>
  <conditionalFormatting sqref="D5">
    <cfRule type="containsBlanks" dxfId="281" priority="21">
      <formula>LEN(TRIM(D5))=0</formula>
    </cfRule>
  </conditionalFormatting>
  <conditionalFormatting sqref="C5">
    <cfRule type="containsBlanks" dxfId="280" priority="20">
      <formula>LEN(TRIM(C5))=0</formula>
    </cfRule>
  </conditionalFormatting>
  <conditionalFormatting sqref="D14">
    <cfRule type="containsBlanks" dxfId="279" priority="19">
      <formula>LEN(TRIM(D14))=0</formula>
    </cfRule>
  </conditionalFormatting>
  <conditionalFormatting sqref="G8:AA8 G10:AA10">
    <cfRule type="containsBlanks" dxfId="278" priority="18">
      <formula>LEN(TRIM(G8))=0</formula>
    </cfRule>
  </conditionalFormatting>
  <conditionalFormatting sqref="G8:AA8 G10:AA10">
    <cfRule type="cellIs" dxfId="277" priority="17" operator="equal">
      <formula>0</formula>
    </cfRule>
  </conditionalFormatting>
  <conditionalFormatting sqref="G7:AA7">
    <cfRule type="containsBlanks" dxfId="276" priority="16">
      <formula>LEN(TRIM(G7))=0</formula>
    </cfRule>
  </conditionalFormatting>
  <conditionalFormatting sqref="G7:AA7">
    <cfRule type="cellIs" dxfId="275" priority="15" operator="equal">
      <formula>0</formula>
    </cfRule>
  </conditionalFormatting>
  <conditionalFormatting sqref="A5">
    <cfRule type="containsBlanks" dxfId="274" priority="13">
      <formula>LEN(TRIM(A5))=0</formula>
    </cfRule>
  </conditionalFormatting>
  <conditionalFormatting sqref="F7">
    <cfRule type="containsBlanks" dxfId="273" priority="14">
      <formula>LEN(TRIM(F7))=0</formula>
    </cfRule>
  </conditionalFormatting>
  <conditionalFormatting sqref="B5">
    <cfRule type="containsBlanks" dxfId="272" priority="12">
      <formula>LEN(TRIM(B5))=0</formula>
    </cfRule>
  </conditionalFormatting>
  <conditionalFormatting sqref="A7:E7">
    <cfRule type="containsBlanks" dxfId="271" priority="11">
      <formula>LEN(TRIM(A7))=0</formula>
    </cfRule>
  </conditionalFormatting>
  <conditionalFormatting sqref="G9">
    <cfRule type="containsBlanks" dxfId="270" priority="10">
      <formula>LEN(TRIM(G9))=0</formula>
    </cfRule>
  </conditionalFormatting>
  <conditionalFormatting sqref="H9:AA9">
    <cfRule type="containsBlanks" dxfId="269" priority="9">
      <formula>LEN(TRIM(H9))=0</formula>
    </cfRule>
  </conditionalFormatting>
  <conditionalFormatting sqref="H9:AA9">
    <cfRule type="cellIs" dxfId="268" priority="8" operator="equal">
      <formula>0</formula>
    </cfRule>
  </conditionalFormatting>
  <conditionalFormatting sqref="E5">
    <cfRule type="containsBlanks" dxfId="267" priority="7">
      <formula>LEN(TRIM(E5))=0</formula>
    </cfRule>
  </conditionalFormatting>
  <conditionalFormatting sqref="F5">
    <cfRule type="containsBlanks" dxfId="266" priority="6">
      <formula>LEN(TRIM(F5))=0</formula>
    </cfRule>
  </conditionalFormatting>
  <conditionalFormatting sqref="E6">
    <cfRule type="containsBlanks" dxfId="265" priority="5">
      <formula>LEN(TRIM(E6))=0</formula>
    </cfRule>
  </conditionalFormatting>
  <conditionalFormatting sqref="D6">
    <cfRule type="containsBlanks" dxfId="264" priority="4">
      <formula>LEN(TRIM(D6))=0</formula>
    </cfRule>
  </conditionalFormatting>
  <conditionalFormatting sqref="C6">
    <cfRule type="containsBlanks" dxfId="263" priority="3">
      <formula>LEN(TRIM(C6))=0</formula>
    </cfRule>
  </conditionalFormatting>
  <conditionalFormatting sqref="A6">
    <cfRule type="containsBlanks" dxfId="262" priority="2">
      <formula>LEN(TRIM(A6))=0</formula>
    </cfRule>
  </conditionalFormatting>
  <conditionalFormatting sqref="B6">
    <cfRule type="containsBlanks" dxfId="261" priority="1">
      <formula>LEN(TRIM(B6))=0</formula>
    </cfRule>
  </conditionalFormatting>
  <dataValidations count="1">
    <dataValidation type="list" allowBlank="1" showInputMessage="1" showErrorMessage="1" sqref="E15:E23 E26:E27" xr:uid="{E4C9120A-FFB9-4834-980A-E9B03A29CC20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7E9B-B643-46A5-AC3E-545C7897FFD9}">
  <sheetPr codeName="Hoja5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143</v>
      </c>
      <c r="B6" s="70" t="s">
        <v>122</v>
      </c>
      <c r="C6" s="54">
        <v>602</v>
      </c>
      <c r="D6" s="58" t="s">
        <v>144</v>
      </c>
      <c r="E6" s="69">
        <v>1000</v>
      </c>
      <c r="F6" s="7">
        <v>602140425</v>
      </c>
      <c r="G6" s="77">
        <v>0.375</v>
      </c>
      <c r="H6" s="8">
        <v>0.01</v>
      </c>
      <c r="I6" s="8">
        <v>0.152</v>
      </c>
      <c r="J6" s="8">
        <v>1.4E-2</v>
      </c>
      <c r="K6" s="8">
        <v>0</v>
      </c>
      <c r="L6" s="8">
        <v>0</v>
      </c>
      <c r="M6" s="8">
        <v>7.4999999999999997E-2</v>
      </c>
      <c r="N6" s="8">
        <v>0.21099999999999999</v>
      </c>
      <c r="O6" s="8">
        <v>1.2E-2</v>
      </c>
      <c r="P6" s="8">
        <v>4.5999999999999999E-2</v>
      </c>
      <c r="Q6" s="8">
        <v>6.3E-2</v>
      </c>
      <c r="R6" s="8">
        <v>1.7999999999999999E-2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0.10199999999999999</v>
      </c>
      <c r="Z6" s="8">
        <v>0</v>
      </c>
      <c r="AA6" s="8">
        <v>0</v>
      </c>
    </row>
    <row r="7" spans="1:27" ht="19.5" x14ac:dyDescent="0.25">
      <c r="A7" s="55" t="s">
        <v>143</v>
      </c>
      <c r="B7" s="55" t="s">
        <v>122</v>
      </c>
      <c r="C7" s="55">
        <v>602</v>
      </c>
      <c r="D7" s="55" t="s">
        <v>144</v>
      </c>
      <c r="E7" s="55">
        <v>1000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0.32</v>
      </c>
      <c r="H8" s="8"/>
      <c r="I8" s="8">
        <v>0.13839699999999999</v>
      </c>
      <c r="J8" s="8"/>
      <c r="K8" s="8"/>
      <c r="L8" s="8"/>
      <c r="M8" s="8"/>
      <c r="N8" s="8">
        <v>0.19699899999999998</v>
      </c>
      <c r="O8" s="8">
        <v>5.2970000000000005E-3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144</v>
      </c>
      <c r="E9" s="60"/>
      <c r="F9" s="61"/>
      <c r="G9" s="77">
        <v>0.37</v>
      </c>
      <c r="H9" s="8"/>
      <c r="I9" s="8">
        <v>0.15</v>
      </c>
      <c r="J9" s="8"/>
      <c r="K9" s="8"/>
      <c r="L9" s="8"/>
      <c r="M9" s="8"/>
      <c r="N9" s="8">
        <v>0.21</v>
      </c>
      <c r="O9" s="8">
        <v>0.01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0.42</v>
      </c>
      <c r="H10" s="8"/>
      <c r="I10" s="8">
        <v>0.161603</v>
      </c>
      <c r="J10" s="8"/>
      <c r="K10" s="8"/>
      <c r="L10" s="8"/>
      <c r="M10" s="8"/>
      <c r="N10" s="8">
        <v>0.223001</v>
      </c>
      <c r="O10" s="8">
        <v>1.4703000000000001E-2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162.5</v>
      </c>
      <c r="G15" s="9">
        <v>16.25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67.5</v>
      </c>
      <c r="G16" s="9">
        <v>6.75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v>20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350</v>
      </c>
      <c r="G18" s="9">
        <v>35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20</v>
      </c>
      <c r="G19" s="9">
        <v>2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155</v>
      </c>
      <c r="E20" s="9" t="s">
        <v>145</v>
      </c>
      <c r="F20" s="9">
        <v>200</v>
      </c>
      <c r="G20" s="9">
        <v>20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450</v>
      </c>
      <c r="E26" s="9" t="s">
        <v>134</v>
      </c>
      <c r="F26" s="9">
        <v>0.45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tz0QHyBvwBnOvFSYIyfDBM8mrr7NsVCboK0iTE5JajDBQSIRxboTZne84RUt8dsxGuWRIhsTCOMhu4+CDnY43A==" saltValue="UP5xeEogqcULKxZTOO+Fc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260" priority="29">
      <formula>LEN(TRIM(C6))=0</formula>
    </cfRule>
  </conditionalFormatting>
  <conditionalFormatting sqref="H15:AA23 H6:AA6">
    <cfRule type="cellIs" dxfId="259" priority="28" operator="equal">
      <formula>0</formula>
    </cfRule>
  </conditionalFormatting>
  <conditionalFormatting sqref="G15:G23">
    <cfRule type="cellIs" dxfId="258" priority="26" operator="equal">
      <formula>0</formula>
    </cfRule>
    <cfRule type="containsBlanks" dxfId="257" priority="27">
      <formula>LEN(TRIM(G15))=0</formula>
    </cfRule>
  </conditionalFormatting>
  <conditionalFormatting sqref="H5:AA5">
    <cfRule type="containsBlanks" dxfId="256" priority="25">
      <formula>LEN(TRIM(H5))=0</formula>
    </cfRule>
  </conditionalFormatting>
  <conditionalFormatting sqref="G5">
    <cfRule type="containsBlanks" dxfId="255" priority="24">
      <formula>LEN(TRIM(G5))=0</formula>
    </cfRule>
  </conditionalFormatting>
  <conditionalFormatting sqref="F6:G6">
    <cfRule type="containsBlanks" dxfId="254" priority="23">
      <formula>LEN(TRIM(F6))=0</formula>
    </cfRule>
  </conditionalFormatting>
  <conditionalFormatting sqref="H14:AA14">
    <cfRule type="containsBlanks" dxfId="253" priority="22">
      <formula>LEN(TRIM(H14))=0</formula>
    </cfRule>
  </conditionalFormatting>
  <conditionalFormatting sqref="D5">
    <cfRule type="containsBlanks" dxfId="252" priority="21">
      <formula>LEN(TRIM(D5))=0</formula>
    </cfRule>
  </conditionalFormatting>
  <conditionalFormatting sqref="C5">
    <cfRule type="containsBlanks" dxfId="251" priority="20">
      <formula>LEN(TRIM(C5))=0</formula>
    </cfRule>
  </conditionalFormatting>
  <conditionalFormatting sqref="D14">
    <cfRule type="containsBlanks" dxfId="250" priority="19">
      <formula>LEN(TRIM(D14))=0</formula>
    </cfRule>
  </conditionalFormatting>
  <conditionalFormatting sqref="G8:AA8 G10:AA10">
    <cfRule type="containsBlanks" dxfId="249" priority="18">
      <formula>LEN(TRIM(G8))=0</formula>
    </cfRule>
  </conditionalFormatting>
  <conditionalFormatting sqref="G8:AA8 G10:AA10">
    <cfRule type="cellIs" dxfId="248" priority="17" operator="equal">
      <formula>0</formula>
    </cfRule>
  </conditionalFormatting>
  <conditionalFormatting sqref="G7:AA7">
    <cfRule type="containsBlanks" dxfId="247" priority="16">
      <formula>LEN(TRIM(G7))=0</formula>
    </cfRule>
  </conditionalFormatting>
  <conditionalFormatting sqref="G7:AA7">
    <cfRule type="cellIs" dxfId="246" priority="15" operator="equal">
      <formula>0</formula>
    </cfRule>
  </conditionalFormatting>
  <conditionalFormatting sqref="A5">
    <cfRule type="containsBlanks" dxfId="245" priority="13">
      <formula>LEN(TRIM(A5))=0</formula>
    </cfRule>
  </conditionalFormatting>
  <conditionalFormatting sqref="F7">
    <cfRule type="containsBlanks" dxfId="244" priority="14">
      <formula>LEN(TRIM(F7))=0</formula>
    </cfRule>
  </conditionalFormatting>
  <conditionalFormatting sqref="B5">
    <cfRule type="containsBlanks" dxfId="243" priority="12">
      <formula>LEN(TRIM(B5))=0</formula>
    </cfRule>
  </conditionalFormatting>
  <conditionalFormatting sqref="A7:E7">
    <cfRule type="containsBlanks" dxfId="242" priority="11">
      <formula>LEN(TRIM(A7))=0</formula>
    </cfRule>
  </conditionalFormatting>
  <conditionalFormatting sqref="G9">
    <cfRule type="containsBlanks" dxfId="241" priority="10">
      <formula>LEN(TRIM(G9))=0</formula>
    </cfRule>
  </conditionalFormatting>
  <conditionalFormatting sqref="H9:AA9">
    <cfRule type="containsBlanks" dxfId="240" priority="9">
      <formula>LEN(TRIM(H9))=0</formula>
    </cfRule>
  </conditionalFormatting>
  <conditionalFormatting sqref="H9:AA9">
    <cfRule type="cellIs" dxfId="239" priority="8" operator="equal">
      <formula>0</formula>
    </cfRule>
  </conditionalFormatting>
  <conditionalFormatting sqref="E5">
    <cfRule type="containsBlanks" dxfId="238" priority="7">
      <formula>LEN(TRIM(E5))=0</formula>
    </cfRule>
  </conditionalFormatting>
  <conditionalFormatting sqref="F5">
    <cfRule type="containsBlanks" dxfId="237" priority="6">
      <formula>LEN(TRIM(F5))=0</formula>
    </cfRule>
  </conditionalFormatting>
  <conditionalFormatting sqref="E6">
    <cfRule type="containsBlanks" dxfId="236" priority="5">
      <formula>LEN(TRIM(E6))=0</formula>
    </cfRule>
  </conditionalFormatting>
  <conditionalFormatting sqref="D6">
    <cfRule type="containsBlanks" dxfId="235" priority="4">
      <formula>LEN(TRIM(D6))=0</formula>
    </cfRule>
  </conditionalFormatting>
  <conditionalFormatting sqref="C6">
    <cfRule type="containsBlanks" dxfId="234" priority="3">
      <formula>LEN(TRIM(C6))=0</formula>
    </cfRule>
  </conditionalFormatting>
  <conditionalFormatting sqref="A6">
    <cfRule type="containsBlanks" dxfId="233" priority="2">
      <formula>LEN(TRIM(A6))=0</formula>
    </cfRule>
  </conditionalFormatting>
  <conditionalFormatting sqref="B6">
    <cfRule type="containsBlanks" dxfId="232" priority="1">
      <formula>LEN(TRIM(B6))=0</formula>
    </cfRule>
  </conditionalFormatting>
  <dataValidations count="1">
    <dataValidation type="list" allowBlank="1" showInputMessage="1" showErrorMessage="1" sqref="E15:E23 E26:E27" xr:uid="{ACCBACAB-62B3-4B4F-BEBC-E80B35C8E4C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32E3-AA9E-44CE-824E-9A2F789439D3}">
  <sheetPr codeName="Hoja7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146</v>
      </c>
      <c r="B6" s="70" t="s">
        <v>122</v>
      </c>
      <c r="C6" s="54">
        <v>603</v>
      </c>
      <c r="D6" s="58" t="s">
        <v>147</v>
      </c>
      <c r="E6" s="69">
        <v>2000</v>
      </c>
      <c r="F6" s="7">
        <v>603140425</v>
      </c>
      <c r="G6" s="77">
        <v>0.44500000000000001</v>
      </c>
      <c r="H6" s="8">
        <v>0</v>
      </c>
      <c r="I6" s="8">
        <v>5.8999999999999997E-2</v>
      </c>
      <c r="J6" s="8">
        <v>2.4E-2</v>
      </c>
      <c r="K6" s="8">
        <v>0</v>
      </c>
      <c r="L6" s="8">
        <v>0</v>
      </c>
      <c r="M6" s="8">
        <v>1.7000000000000001E-2</v>
      </c>
      <c r="N6" s="8">
        <v>5.6000000000000001E-2</v>
      </c>
      <c r="O6" s="8">
        <v>0.33</v>
      </c>
      <c r="P6" s="8">
        <v>0</v>
      </c>
      <c r="Q6" s="8">
        <v>0.06</v>
      </c>
      <c r="R6" s="8">
        <v>2.7E-2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0.06</v>
      </c>
      <c r="Z6" s="8">
        <v>0</v>
      </c>
      <c r="AA6" s="8">
        <v>0</v>
      </c>
    </row>
    <row r="7" spans="1:27" ht="19.5" x14ac:dyDescent="0.25">
      <c r="A7" s="55" t="s">
        <v>146</v>
      </c>
      <c r="B7" s="55" t="s">
        <v>122</v>
      </c>
      <c r="C7" s="55">
        <v>603</v>
      </c>
      <c r="D7" s="55" t="s">
        <v>147</v>
      </c>
      <c r="E7" s="55">
        <v>2000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0.4</v>
      </c>
      <c r="H8" s="8"/>
      <c r="I8" s="8">
        <v>5.1168999999999999E-2</v>
      </c>
      <c r="J8" s="8"/>
      <c r="K8" s="8"/>
      <c r="L8" s="8"/>
      <c r="M8" s="8"/>
      <c r="N8" s="8">
        <v>5.1168999999999999E-2</v>
      </c>
      <c r="O8" s="8">
        <v>0.308305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147</v>
      </c>
      <c r="E9" s="60"/>
      <c r="F9" s="61"/>
      <c r="G9" s="77">
        <v>0.45</v>
      </c>
      <c r="H9" s="8"/>
      <c r="I9" s="8">
        <v>0.06</v>
      </c>
      <c r="J9" s="8"/>
      <c r="K9" s="8"/>
      <c r="L9" s="8"/>
      <c r="M9" s="8"/>
      <c r="N9" s="8">
        <v>0.06</v>
      </c>
      <c r="O9" s="8">
        <v>0.33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0.5</v>
      </c>
      <c r="H10" s="8"/>
      <c r="I10" s="8">
        <v>6.8831000000000003E-2</v>
      </c>
      <c r="J10" s="8"/>
      <c r="K10" s="8"/>
      <c r="L10" s="8"/>
      <c r="M10" s="8"/>
      <c r="N10" s="8">
        <v>6.8831000000000003E-2</v>
      </c>
      <c r="O10" s="8">
        <v>0.35169500000000004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37.5</v>
      </c>
      <c r="G15" s="9">
        <v>3.75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112.5</v>
      </c>
      <c r="G16" s="9">
        <v>11.25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v>20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100</v>
      </c>
      <c r="G18" s="9">
        <v>10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550</v>
      </c>
      <c r="G19" s="9">
        <v>55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450</v>
      </c>
      <c r="E26" s="9" t="s">
        <v>134</v>
      </c>
      <c r="F26" s="9">
        <v>0.11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TeV4bOCMLeSDbln39FqHPEUUgVjOCK7/PErlkGQVadAjQ+eCWSz/bM3XiecAupb5tBFWKpdNUiYSHQsWqqyoWA==" saltValue="pztdizYJwltnl2cHctx0p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231" priority="29">
      <formula>LEN(TRIM(C6))=0</formula>
    </cfRule>
  </conditionalFormatting>
  <conditionalFormatting sqref="H15:AA23 H6:AA6">
    <cfRule type="cellIs" dxfId="230" priority="28" operator="equal">
      <formula>0</formula>
    </cfRule>
  </conditionalFormatting>
  <conditionalFormatting sqref="G15:G23">
    <cfRule type="cellIs" dxfId="229" priority="26" operator="equal">
      <formula>0</formula>
    </cfRule>
    <cfRule type="containsBlanks" dxfId="228" priority="27">
      <formula>LEN(TRIM(G15))=0</formula>
    </cfRule>
  </conditionalFormatting>
  <conditionalFormatting sqref="H5:AA5">
    <cfRule type="containsBlanks" dxfId="227" priority="25">
      <formula>LEN(TRIM(H5))=0</formula>
    </cfRule>
  </conditionalFormatting>
  <conditionalFormatting sqref="G5">
    <cfRule type="containsBlanks" dxfId="226" priority="24">
      <formula>LEN(TRIM(G5))=0</formula>
    </cfRule>
  </conditionalFormatting>
  <conditionalFormatting sqref="F6:G6">
    <cfRule type="containsBlanks" dxfId="225" priority="23">
      <formula>LEN(TRIM(F6))=0</formula>
    </cfRule>
  </conditionalFormatting>
  <conditionalFormatting sqref="H14:AA14">
    <cfRule type="containsBlanks" dxfId="224" priority="22">
      <formula>LEN(TRIM(H14))=0</formula>
    </cfRule>
  </conditionalFormatting>
  <conditionalFormatting sqref="D5">
    <cfRule type="containsBlanks" dxfId="223" priority="21">
      <formula>LEN(TRIM(D5))=0</formula>
    </cfRule>
  </conditionalFormatting>
  <conditionalFormatting sqref="C5">
    <cfRule type="containsBlanks" dxfId="222" priority="20">
      <formula>LEN(TRIM(C5))=0</formula>
    </cfRule>
  </conditionalFormatting>
  <conditionalFormatting sqref="D14">
    <cfRule type="containsBlanks" dxfId="221" priority="19">
      <formula>LEN(TRIM(D14))=0</formula>
    </cfRule>
  </conditionalFormatting>
  <conditionalFormatting sqref="G8:AA8 G10:AA10">
    <cfRule type="containsBlanks" dxfId="220" priority="18">
      <formula>LEN(TRIM(G8))=0</formula>
    </cfRule>
  </conditionalFormatting>
  <conditionalFormatting sqref="G8:AA8 G10:AA10">
    <cfRule type="cellIs" dxfId="219" priority="17" operator="equal">
      <formula>0</formula>
    </cfRule>
  </conditionalFormatting>
  <conditionalFormatting sqref="G7:AA7">
    <cfRule type="containsBlanks" dxfId="218" priority="16">
      <formula>LEN(TRIM(G7))=0</formula>
    </cfRule>
  </conditionalFormatting>
  <conditionalFormatting sqref="G7:AA7">
    <cfRule type="cellIs" dxfId="217" priority="15" operator="equal">
      <formula>0</formula>
    </cfRule>
  </conditionalFormatting>
  <conditionalFormatting sqref="A5">
    <cfRule type="containsBlanks" dxfId="216" priority="13">
      <formula>LEN(TRIM(A5))=0</formula>
    </cfRule>
  </conditionalFormatting>
  <conditionalFormatting sqref="F7">
    <cfRule type="containsBlanks" dxfId="215" priority="14">
      <formula>LEN(TRIM(F7))=0</formula>
    </cfRule>
  </conditionalFormatting>
  <conditionalFormatting sqref="B5">
    <cfRule type="containsBlanks" dxfId="214" priority="12">
      <formula>LEN(TRIM(B5))=0</formula>
    </cfRule>
  </conditionalFormatting>
  <conditionalFormatting sqref="A7:E7">
    <cfRule type="containsBlanks" dxfId="213" priority="11">
      <formula>LEN(TRIM(A7))=0</formula>
    </cfRule>
  </conditionalFormatting>
  <conditionalFormatting sqref="G9">
    <cfRule type="containsBlanks" dxfId="212" priority="10">
      <formula>LEN(TRIM(G9))=0</formula>
    </cfRule>
  </conditionalFormatting>
  <conditionalFormatting sqref="H9:AA9">
    <cfRule type="containsBlanks" dxfId="211" priority="9">
      <formula>LEN(TRIM(H9))=0</formula>
    </cfRule>
  </conditionalFormatting>
  <conditionalFormatting sqref="H9:AA9">
    <cfRule type="cellIs" dxfId="210" priority="8" operator="equal">
      <formula>0</formula>
    </cfRule>
  </conditionalFormatting>
  <conditionalFormatting sqref="E5">
    <cfRule type="containsBlanks" dxfId="209" priority="7">
      <formula>LEN(TRIM(E5))=0</formula>
    </cfRule>
  </conditionalFormatting>
  <conditionalFormatting sqref="F5">
    <cfRule type="containsBlanks" dxfId="208" priority="6">
      <formula>LEN(TRIM(F5))=0</formula>
    </cfRule>
  </conditionalFormatting>
  <conditionalFormatting sqref="E6">
    <cfRule type="containsBlanks" dxfId="207" priority="5">
      <formula>LEN(TRIM(E6))=0</formula>
    </cfRule>
  </conditionalFormatting>
  <conditionalFormatting sqref="D6">
    <cfRule type="containsBlanks" dxfId="206" priority="4">
      <formula>LEN(TRIM(D6))=0</formula>
    </cfRule>
  </conditionalFormatting>
  <conditionalFormatting sqref="C6">
    <cfRule type="containsBlanks" dxfId="205" priority="3">
      <formula>LEN(TRIM(C6))=0</formula>
    </cfRule>
  </conditionalFormatting>
  <conditionalFormatting sqref="A6">
    <cfRule type="containsBlanks" dxfId="204" priority="2">
      <formula>LEN(TRIM(A6))=0</formula>
    </cfRule>
  </conditionalFormatting>
  <conditionalFormatting sqref="B6">
    <cfRule type="containsBlanks" dxfId="203" priority="1">
      <formula>LEN(TRIM(B6))=0</formula>
    </cfRule>
  </conditionalFormatting>
  <dataValidations count="1">
    <dataValidation type="list" allowBlank="1" showInputMessage="1" showErrorMessage="1" sqref="E15:E23 E26:E27" xr:uid="{75E50BD4-359A-4B56-8576-DD93EF46AD9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C230-FFBC-4273-8A99-FC8F1BA5485A}">
  <sheetPr codeName="Hoja8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7.710937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148</v>
      </c>
      <c r="B6" s="70" t="s">
        <v>122</v>
      </c>
      <c r="C6" s="54">
        <v>841</v>
      </c>
      <c r="D6" s="58" t="s">
        <v>149</v>
      </c>
      <c r="E6" s="69">
        <v>22000</v>
      </c>
      <c r="F6" s="7">
        <v>841140425</v>
      </c>
      <c r="G6" s="77">
        <v>0.377</v>
      </c>
      <c r="H6" s="8">
        <v>0</v>
      </c>
      <c r="I6" s="8">
        <v>0.158</v>
      </c>
      <c r="J6" s="8">
        <v>0</v>
      </c>
      <c r="K6" s="8">
        <v>0</v>
      </c>
      <c r="L6" s="8">
        <v>0</v>
      </c>
      <c r="M6" s="8">
        <v>0.13800000000000001</v>
      </c>
      <c r="N6" s="8">
        <v>5.0999999999999997E-2</v>
      </c>
      <c r="O6" s="8">
        <v>0.16800000000000001</v>
      </c>
      <c r="P6" s="8">
        <v>5.6000000000000001E-2</v>
      </c>
      <c r="Q6" s="8">
        <v>5.6000000000000001E-2</v>
      </c>
      <c r="R6" s="8">
        <v>1.2E-2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4.2999999999999997E-2</v>
      </c>
      <c r="Z6" s="8">
        <v>0</v>
      </c>
      <c r="AA6" s="8">
        <v>0</v>
      </c>
    </row>
    <row r="7" spans="1:27" ht="19.5" x14ac:dyDescent="0.25">
      <c r="A7" s="55" t="s">
        <v>148</v>
      </c>
      <c r="B7" s="55" t="s">
        <v>122</v>
      </c>
      <c r="C7" s="55">
        <v>841</v>
      </c>
      <c r="D7" s="55" t="s">
        <v>149</v>
      </c>
      <c r="E7" s="55">
        <v>22000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139</v>
      </c>
      <c r="O7" s="8" t="s">
        <v>3</v>
      </c>
      <c r="P7" s="8" t="s">
        <v>156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0.36000000000000004</v>
      </c>
      <c r="H8" s="8"/>
      <c r="I8" s="8">
        <v>0.157891</v>
      </c>
      <c r="J8" s="8"/>
      <c r="K8" s="8"/>
      <c r="L8" s="8"/>
      <c r="M8" s="8"/>
      <c r="N8" s="8">
        <v>5.1168999999999999E-2</v>
      </c>
      <c r="O8" s="8">
        <v>0.16448499999999999</v>
      </c>
      <c r="P8" s="8">
        <v>1.37E-2</v>
      </c>
      <c r="Q8" s="8"/>
      <c r="R8" s="8">
        <v>6.2500000000000003E-3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149</v>
      </c>
      <c r="E9" s="60"/>
      <c r="F9" s="61"/>
      <c r="G9" s="77">
        <v>0.41000000000000003</v>
      </c>
      <c r="H9" s="8"/>
      <c r="I9" s="8">
        <v>0.17</v>
      </c>
      <c r="J9" s="8"/>
      <c r="K9" s="8"/>
      <c r="L9" s="8"/>
      <c r="M9" s="8"/>
      <c r="N9" s="8">
        <v>0.06</v>
      </c>
      <c r="O9" s="8">
        <v>0.18</v>
      </c>
      <c r="P9" s="8">
        <v>0.02</v>
      </c>
      <c r="Q9" s="8"/>
      <c r="R9" s="8">
        <v>0.01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0.46</v>
      </c>
      <c r="H10" s="8"/>
      <c r="I10" s="8">
        <v>0.18210900000000002</v>
      </c>
      <c r="J10" s="8"/>
      <c r="K10" s="8"/>
      <c r="L10" s="8"/>
      <c r="M10" s="8"/>
      <c r="N10" s="8">
        <v>6.8831000000000003E-2</v>
      </c>
      <c r="O10" s="8">
        <v>0.19551499999999999</v>
      </c>
      <c r="P10" s="8">
        <v>2.63E-2</v>
      </c>
      <c r="Q10" s="8"/>
      <c r="R10" s="8">
        <v>1.375E-2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300</v>
      </c>
      <c r="G15" s="9">
        <v>30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65</v>
      </c>
      <c r="E16" s="9" t="s">
        <v>150</v>
      </c>
      <c r="F16" s="9">
        <v>310</v>
      </c>
      <c r="G16" s="9">
        <v>31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0.18</v>
      </c>
      <c r="Q16" s="10">
        <v>0.18</v>
      </c>
      <c r="R16" s="10">
        <v>0.04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0.14000000000000001</v>
      </c>
      <c r="Z16" s="10">
        <v>0</v>
      </c>
      <c r="AA16" s="11">
        <v>0</v>
      </c>
    </row>
    <row r="17" spans="3:27" x14ac:dyDescent="0.25">
      <c r="D17" s="9">
        <v>97</v>
      </c>
      <c r="E17" s="9" t="s">
        <v>142</v>
      </c>
      <c r="F17" s="9">
        <v>110</v>
      </c>
      <c r="G17" s="9">
        <v>11</v>
      </c>
      <c r="H17" s="10">
        <v>0</v>
      </c>
      <c r="I17" s="10">
        <v>0.18</v>
      </c>
      <c r="J17" s="10">
        <v>0</v>
      </c>
      <c r="K17" s="10">
        <v>0</v>
      </c>
      <c r="L17" s="10">
        <v>0</v>
      </c>
      <c r="M17" s="10">
        <v>0</v>
      </c>
      <c r="N17" s="10">
        <v>0.46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144</v>
      </c>
      <c r="E18" s="9" t="s">
        <v>133</v>
      </c>
      <c r="F18" s="9">
        <v>280</v>
      </c>
      <c r="G18" s="9">
        <v>28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0.6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/>
      <c r="E26" s="9"/>
      <c r="F26" s="9"/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ICqgC+DfyQfczEci1FW7QSfchBX1WIJRmFiBpPsm+blLLTdowoyaIZgU9n+n+f2+f0Gr5vBrrEGZRCi/0kv+CQ==" saltValue="plSoNZblFeaPykjCNqTy1w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202" priority="29">
      <formula>LEN(TRIM(C6))=0</formula>
    </cfRule>
  </conditionalFormatting>
  <conditionalFormatting sqref="H15:AA23 H6:AA6">
    <cfRule type="cellIs" dxfId="201" priority="28" operator="equal">
      <formula>0</formula>
    </cfRule>
  </conditionalFormatting>
  <conditionalFormatting sqref="G15:G23">
    <cfRule type="cellIs" dxfId="200" priority="26" operator="equal">
      <formula>0</formula>
    </cfRule>
    <cfRule type="containsBlanks" dxfId="199" priority="27">
      <formula>LEN(TRIM(G15))=0</formula>
    </cfRule>
  </conditionalFormatting>
  <conditionalFormatting sqref="H5:AA5">
    <cfRule type="containsBlanks" dxfId="198" priority="25">
      <formula>LEN(TRIM(H5))=0</formula>
    </cfRule>
  </conditionalFormatting>
  <conditionalFormatting sqref="G5">
    <cfRule type="containsBlanks" dxfId="197" priority="24">
      <formula>LEN(TRIM(G5))=0</formula>
    </cfRule>
  </conditionalFormatting>
  <conditionalFormatting sqref="F6:G6">
    <cfRule type="containsBlanks" dxfId="196" priority="23">
      <formula>LEN(TRIM(F6))=0</formula>
    </cfRule>
  </conditionalFormatting>
  <conditionalFormatting sqref="H14:AA14">
    <cfRule type="containsBlanks" dxfId="195" priority="22">
      <formula>LEN(TRIM(H14))=0</formula>
    </cfRule>
  </conditionalFormatting>
  <conditionalFormatting sqref="D5">
    <cfRule type="containsBlanks" dxfId="194" priority="21">
      <formula>LEN(TRIM(D5))=0</formula>
    </cfRule>
  </conditionalFormatting>
  <conditionalFormatting sqref="C5">
    <cfRule type="containsBlanks" dxfId="193" priority="20">
      <formula>LEN(TRIM(C5))=0</formula>
    </cfRule>
  </conditionalFormatting>
  <conditionalFormatting sqref="D14">
    <cfRule type="containsBlanks" dxfId="192" priority="19">
      <formula>LEN(TRIM(D14))=0</formula>
    </cfRule>
  </conditionalFormatting>
  <conditionalFormatting sqref="G8:AA8 G10:AA10">
    <cfRule type="containsBlanks" dxfId="191" priority="18">
      <formula>LEN(TRIM(G8))=0</formula>
    </cfRule>
  </conditionalFormatting>
  <conditionalFormatting sqref="G8:AA8 G10:AA10">
    <cfRule type="cellIs" dxfId="190" priority="17" operator="equal">
      <formula>0</formula>
    </cfRule>
  </conditionalFormatting>
  <conditionalFormatting sqref="G7:AA7">
    <cfRule type="containsBlanks" dxfId="189" priority="16">
      <formula>LEN(TRIM(G7))=0</formula>
    </cfRule>
  </conditionalFormatting>
  <conditionalFormatting sqref="G7:AA7">
    <cfRule type="cellIs" dxfId="188" priority="15" operator="equal">
      <formula>0</formula>
    </cfRule>
  </conditionalFormatting>
  <conditionalFormatting sqref="A5">
    <cfRule type="containsBlanks" dxfId="187" priority="13">
      <formula>LEN(TRIM(A5))=0</formula>
    </cfRule>
  </conditionalFormatting>
  <conditionalFormatting sqref="F7">
    <cfRule type="containsBlanks" dxfId="186" priority="14">
      <formula>LEN(TRIM(F7))=0</formula>
    </cfRule>
  </conditionalFormatting>
  <conditionalFormatting sqref="B5">
    <cfRule type="containsBlanks" dxfId="185" priority="12">
      <formula>LEN(TRIM(B5))=0</formula>
    </cfRule>
  </conditionalFormatting>
  <conditionalFormatting sqref="A7:E7">
    <cfRule type="containsBlanks" dxfId="184" priority="11">
      <formula>LEN(TRIM(A7))=0</formula>
    </cfRule>
  </conditionalFormatting>
  <conditionalFormatting sqref="G9">
    <cfRule type="containsBlanks" dxfId="183" priority="10">
      <formula>LEN(TRIM(G9))=0</formula>
    </cfRule>
  </conditionalFormatting>
  <conditionalFormatting sqref="H9:AA9">
    <cfRule type="containsBlanks" dxfId="182" priority="9">
      <formula>LEN(TRIM(H9))=0</formula>
    </cfRule>
  </conditionalFormatting>
  <conditionalFormatting sqref="H9:AA9">
    <cfRule type="cellIs" dxfId="181" priority="8" operator="equal">
      <formula>0</formula>
    </cfRule>
  </conditionalFormatting>
  <conditionalFormatting sqref="E5">
    <cfRule type="containsBlanks" dxfId="180" priority="7">
      <formula>LEN(TRIM(E5))=0</formula>
    </cfRule>
  </conditionalFormatting>
  <conditionalFormatting sqref="F5">
    <cfRule type="containsBlanks" dxfId="179" priority="6">
      <formula>LEN(TRIM(F5))=0</formula>
    </cfRule>
  </conditionalFormatting>
  <conditionalFormatting sqref="E6">
    <cfRule type="containsBlanks" dxfId="178" priority="5">
      <formula>LEN(TRIM(E6))=0</formula>
    </cfRule>
  </conditionalFormatting>
  <conditionalFormatting sqref="D6">
    <cfRule type="containsBlanks" dxfId="177" priority="4">
      <formula>LEN(TRIM(D6))=0</formula>
    </cfRule>
  </conditionalFormatting>
  <conditionalFormatting sqref="C6">
    <cfRule type="containsBlanks" dxfId="176" priority="3">
      <formula>LEN(TRIM(C6))=0</formula>
    </cfRule>
  </conditionalFormatting>
  <conditionalFormatting sqref="A6">
    <cfRule type="containsBlanks" dxfId="175" priority="2">
      <formula>LEN(TRIM(A6))=0</formula>
    </cfRule>
  </conditionalFormatting>
  <conditionalFormatting sqref="B6">
    <cfRule type="containsBlanks" dxfId="174" priority="1">
      <formula>LEN(TRIM(B6))=0</formula>
    </cfRule>
  </conditionalFormatting>
  <dataValidations count="1">
    <dataValidation type="list" allowBlank="1" showInputMessage="1" showErrorMessage="1" sqref="E26:E27 E15:E23" xr:uid="{E9C54DCB-EB94-4758-A5C9-894D3EC2A355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A5BF4-7983-48A7-81F0-05F89F640986}">
  <sheetPr codeName="Hoja10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151</v>
      </c>
      <c r="B6" s="70" t="s">
        <v>152</v>
      </c>
      <c r="C6" s="54">
        <v>65</v>
      </c>
      <c r="D6" s="58" t="s">
        <v>153</v>
      </c>
      <c r="E6" s="69">
        <v>10500</v>
      </c>
      <c r="F6" s="7">
        <v>65150425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0.183</v>
      </c>
      <c r="Q6" s="8">
        <v>0.183</v>
      </c>
      <c r="R6" s="8">
        <v>0.04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0.158</v>
      </c>
      <c r="Z6" s="8">
        <v>0</v>
      </c>
      <c r="AA6" s="8">
        <v>0</v>
      </c>
    </row>
    <row r="7" spans="1:27" ht="19.5" x14ac:dyDescent="0.25">
      <c r="A7" s="55" t="s">
        <v>151</v>
      </c>
      <c r="B7" s="55" t="s">
        <v>152</v>
      </c>
      <c r="C7" s="55">
        <v>65</v>
      </c>
      <c r="D7" s="55" t="s">
        <v>153</v>
      </c>
      <c r="E7" s="55">
        <v>10500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3</v>
      </c>
      <c r="R7" s="8" t="s">
        <v>156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0.13500000000000001</v>
      </c>
      <c r="R8" s="8">
        <v>2.4750000000000001E-2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153</v>
      </c>
      <c r="E9" s="60"/>
      <c r="F9" s="61"/>
      <c r="G9" s="77"/>
      <c r="H9" s="8"/>
      <c r="I9" s="8">
        <v>0</v>
      </c>
      <c r="J9" s="8"/>
      <c r="K9" s="8"/>
      <c r="L9" s="8"/>
      <c r="M9" s="8"/>
      <c r="N9" s="8">
        <v>0</v>
      </c>
      <c r="O9" s="8">
        <v>0</v>
      </c>
      <c r="P9" s="8">
        <v>0.16</v>
      </c>
      <c r="Q9" s="8">
        <v>0.16</v>
      </c>
      <c r="R9" s="8">
        <v>0.03</v>
      </c>
      <c r="S9" s="8"/>
      <c r="T9" s="8"/>
      <c r="U9" s="8"/>
      <c r="V9" s="8"/>
      <c r="W9" s="8"/>
      <c r="X9" s="8"/>
      <c r="Y9" s="8">
        <v>0.18</v>
      </c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0.185</v>
      </c>
      <c r="R10" s="8">
        <v>3.5249999999999997E-2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5</v>
      </c>
      <c r="E15" s="9" t="s">
        <v>154</v>
      </c>
      <c r="F15" s="9">
        <v>150</v>
      </c>
      <c r="G15" s="9">
        <v>15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0.26</v>
      </c>
      <c r="Q15" s="10">
        <v>0</v>
      </c>
      <c r="R15" s="10">
        <v>0.13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74</v>
      </c>
      <c r="E16" s="9" t="s">
        <v>39</v>
      </c>
      <c r="F16" s="9">
        <v>100</v>
      </c>
      <c r="G16" s="9">
        <v>10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0.25</v>
      </c>
      <c r="R16" s="10">
        <v>0.2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250</v>
      </c>
      <c r="G17" s="9">
        <v>25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155</v>
      </c>
      <c r="F18" s="9">
        <v>100</v>
      </c>
      <c r="G18" s="9">
        <v>10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0.34</v>
      </c>
      <c r="Q18" s="10">
        <v>0.14000000000000001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274</v>
      </c>
      <c r="E19" s="9" t="s">
        <v>40</v>
      </c>
      <c r="F19" s="9">
        <v>400</v>
      </c>
      <c r="G19" s="9">
        <v>40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0.36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0.39600000000000002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532wWjlsS/NfzY9ZxAJn0UplnizL1xLxgHTsRwbJrOKvrrR0pC1QzbQjapKMar45wDWHBe/NfpkfdH6kXRhZkg==" saltValue="9wZpbPNYrfNyAXJatDHyi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73" priority="29">
      <formula>LEN(TRIM(C6))=0</formula>
    </cfRule>
  </conditionalFormatting>
  <conditionalFormatting sqref="H15:AA23 H6:AA6">
    <cfRule type="cellIs" dxfId="172" priority="28" operator="equal">
      <formula>0</formula>
    </cfRule>
  </conditionalFormatting>
  <conditionalFormatting sqref="G15:G23">
    <cfRule type="cellIs" dxfId="171" priority="26" operator="equal">
      <formula>0</formula>
    </cfRule>
    <cfRule type="containsBlanks" dxfId="170" priority="27">
      <formula>LEN(TRIM(G15))=0</formula>
    </cfRule>
  </conditionalFormatting>
  <conditionalFormatting sqref="H5:AA5">
    <cfRule type="containsBlanks" dxfId="169" priority="25">
      <formula>LEN(TRIM(H5))=0</formula>
    </cfRule>
  </conditionalFormatting>
  <conditionalFormatting sqref="G5">
    <cfRule type="containsBlanks" dxfId="168" priority="24">
      <formula>LEN(TRIM(G5))=0</formula>
    </cfRule>
  </conditionalFormatting>
  <conditionalFormatting sqref="F6:G6">
    <cfRule type="containsBlanks" dxfId="167" priority="23">
      <formula>LEN(TRIM(F6))=0</formula>
    </cfRule>
  </conditionalFormatting>
  <conditionalFormatting sqref="H14:AA14">
    <cfRule type="containsBlanks" dxfId="166" priority="22">
      <formula>LEN(TRIM(H14))=0</formula>
    </cfRule>
  </conditionalFormatting>
  <conditionalFormatting sqref="D5">
    <cfRule type="containsBlanks" dxfId="165" priority="21">
      <formula>LEN(TRIM(D5))=0</formula>
    </cfRule>
  </conditionalFormatting>
  <conditionalFormatting sqref="C5">
    <cfRule type="containsBlanks" dxfId="164" priority="20">
      <formula>LEN(TRIM(C5))=0</formula>
    </cfRule>
  </conditionalFormatting>
  <conditionalFormatting sqref="D14">
    <cfRule type="containsBlanks" dxfId="163" priority="19">
      <formula>LEN(TRIM(D14))=0</formula>
    </cfRule>
  </conditionalFormatting>
  <conditionalFormatting sqref="G8:AA8 G10:AA10">
    <cfRule type="containsBlanks" dxfId="162" priority="18">
      <formula>LEN(TRIM(G8))=0</formula>
    </cfRule>
  </conditionalFormatting>
  <conditionalFormatting sqref="G8:AA8 G10:AA10">
    <cfRule type="cellIs" dxfId="161" priority="17" operator="equal">
      <formula>0</formula>
    </cfRule>
  </conditionalFormatting>
  <conditionalFormatting sqref="G7:AA7">
    <cfRule type="containsBlanks" dxfId="160" priority="16">
      <formula>LEN(TRIM(G7))=0</formula>
    </cfRule>
  </conditionalFormatting>
  <conditionalFormatting sqref="G7:AA7">
    <cfRule type="cellIs" dxfId="159" priority="15" operator="equal">
      <formula>0</formula>
    </cfRule>
  </conditionalFormatting>
  <conditionalFormatting sqref="A5">
    <cfRule type="containsBlanks" dxfId="158" priority="13">
      <formula>LEN(TRIM(A5))=0</formula>
    </cfRule>
  </conditionalFormatting>
  <conditionalFormatting sqref="F7">
    <cfRule type="containsBlanks" dxfId="157" priority="14">
      <formula>LEN(TRIM(F7))=0</formula>
    </cfRule>
  </conditionalFormatting>
  <conditionalFormatting sqref="B5">
    <cfRule type="containsBlanks" dxfId="156" priority="12">
      <formula>LEN(TRIM(B5))=0</formula>
    </cfRule>
  </conditionalFormatting>
  <conditionalFormatting sqref="A7:E7">
    <cfRule type="containsBlanks" dxfId="155" priority="11">
      <formula>LEN(TRIM(A7))=0</formula>
    </cfRule>
  </conditionalFormatting>
  <conditionalFormatting sqref="G9">
    <cfRule type="containsBlanks" dxfId="154" priority="10">
      <formula>LEN(TRIM(G9))=0</formula>
    </cfRule>
  </conditionalFormatting>
  <conditionalFormatting sqref="H9:AA9">
    <cfRule type="containsBlanks" dxfId="153" priority="9">
      <formula>LEN(TRIM(H9))=0</formula>
    </cfRule>
  </conditionalFormatting>
  <conditionalFormatting sqref="H9:AA9">
    <cfRule type="cellIs" dxfId="152" priority="8" operator="equal">
      <formula>0</formula>
    </cfRule>
  </conditionalFormatting>
  <conditionalFormatting sqref="E5">
    <cfRule type="containsBlanks" dxfId="151" priority="7">
      <formula>LEN(TRIM(E5))=0</formula>
    </cfRule>
  </conditionalFormatting>
  <conditionalFormatting sqref="F5">
    <cfRule type="containsBlanks" dxfId="150" priority="6">
      <formula>LEN(TRIM(F5))=0</formula>
    </cfRule>
  </conditionalFormatting>
  <conditionalFormatting sqref="E6">
    <cfRule type="containsBlanks" dxfId="149" priority="5">
      <formula>LEN(TRIM(E6))=0</formula>
    </cfRule>
  </conditionalFormatting>
  <conditionalFormatting sqref="D6">
    <cfRule type="containsBlanks" dxfId="148" priority="4">
      <formula>LEN(TRIM(D6))=0</formula>
    </cfRule>
  </conditionalFormatting>
  <conditionalFormatting sqref="C6">
    <cfRule type="containsBlanks" dxfId="147" priority="3">
      <formula>LEN(TRIM(C6))=0</formula>
    </cfRule>
  </conditionalFormatting>
  <conditionalFormatting sqref="A6">
    <cfRule type="containsBlanks" dxfId="146" priority="2">
      <formula>LEN(TRIM(A6))=0</formula>
    </cfRule>
  </conditionalFormatting>
  <conditionalFormatting sqref="B6">
    <cfRule type="containsBlanks" dxfId="145" priority="1">
      <formula>LEN(TRIM(B6))=0</formula>
    </cfRule>
  </conditionalFormatting>
  <dataValidations count="1">
    <dataValidation type="list" allowBlank="1" showInputMessage="1" showErrorMessage="1" sqref="E26:E27 E15:E23" xr:uid="{8F31E914-6D13-40AC-852D-BDC54013F06D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475FC-09BD-4BF9-B62E-7021BD447091}">
  <sheetPr codeName="Hoja11">
    <tabColor rgb="FF92D050"/>
  </sheetPr>
  <dimension ref="A1:AA32"/>
  <sheetViews>
    <sheetView zoomScaleNormal="100" workbookViewId="0">
      <pane xSplit="4" topLeftCell="E1" activePane="topRight" state="frozen"/>
      <selection activeCell="N9" sqref="N9"/>
      <selection pane="topRight" activeCell="N9" sqref="N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160</v>
      </c>
      <c r="B6" s="70" t="s">
        <v>161</v>
      </c>
      <c r="C6" s="54">
        <v>679</v>
      </c>
      <c r="D6" s="58" t="s">
        <v>162</v>
      </c>
      <c r="E6" s="69">
        <v>10500</v>
      </c>
      <c r="F6" s="7">
        <v>679160425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0.158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160</v>
      </c>
      <c r="B7" s="55" t="s">
        <v>161</v>
      </c>
      <c r="C7" s="55">
        <v>679</v>
      </c>
      <c r="D7" s="55" t="s">
        <v>162</v>
      </c>
      <c r="E7" s="55">
        <v>10500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162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50</v>
      </c>
      <c r="G17" s="9">
        <v>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463</v>
      </c>
      <c r="E20" s="9" t="s">
        <v>169</v>
      </c>
      <c r="F20" s="9">
        <v>100</v>
      </c>
      <c r="G20" s="9">
        <v>10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0.55000000000000004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yVGwL9xy9EJUGXrA28qQNOWdKj0V6kTarZrVW7lc4azaBjdZmpCI/eUocfR8nNnmfR/cWbGXHOynqT+Iogt/Uw==" saltValue="I4EQKYvf4Egq1bK+rZBWkQ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44" priority="29">
      <formula>LEN(TRIM(C6))=0</formula>
    </cfRule>
  </conditionalFormatting>
  <conditionalFormatting sqref="H15:AA23 H6:AA6">
    <cfRule type="cellIs" dxfId="143" priority="28" operator="equal">
      <formula>0</formula>
    </cfRule>
  </conditionalFormatting>
  <conditionalFormatting sqref="G15:G23">
    <cfRule type="cellIs" dxfId="142" priority="26" operator="equal">
      <formula>0</formula>
    </cfRule>
    <cfRule type="containsBlanks" dxfId="141" priority="27">
      <formula>LEN(TRIM(G15))=0</formula>
    </cfRule>
  </conditionalFormatting>
  <conditionalFormatting sqref="H5:AA5">
    <cfRule type="containsBlanks" dxfId="140" priority="25">
      <formula>LEN(TRIM(H5))=0</formula>
    </cfRule>
  </conditionalFormatting>
  <conditionalFormatting sqref="G5">
    <cfRule type="containsBlanks" dxfId="139" priority="24">
      <formula>LEN(TRIM(G5))=0</formula>
    </cfRule>
  </conditionalFormatting>
  <conditionalFormatting sqref="F6:G6">
    <cfRule type="containsBlanks" dxfId="138" priority="23">
      <formula>LEN(TRIM(F6))=0</formula>
    </cfRule>
  </conditionalFormatting>
  <conditionalFormatting sqref="H14:AA14">
    <cfRule type="containsBlanks" dxfId="137" priority="22">
      <formula>LEN(TRIM(H14))=0</formula>
    </cfRule>
  </conditionalFormatting>
  <conditionalFormatting sqref="D5">
    <cfRule type="containsBlanks" dxfId="136" priority="21">
      <formula>LEN(TRIM(D5))=0</formula>
    </cfRule>
  </conditionalFormatting>
  <conditionalFormatting sqref="C5">
    <cfRule type="containsBlanks" dxfId="135" priority="20">
      <formula>LEN(TRIM(C5))=0</formula>
    </cfRule>
  </conditionalFormatting>
  <conditionalFormatting sqref="D14">
    <cfRule type="containsBlanks" dxfId="134" priority="19">
      <formula>LEN(TRIM(D14))=0</formula>
    </cfRule>
  </conditionalFormatting>
  <conditionalFormatting sqref="G8:AA8 G10:AA10">
    <cfRule type="containsBlanks" dxfId="133" priority="18">
      <formula>LEN(TRIM(G8))=0</formula>
    </cfRule>
  </conditionalFormatting>
  <conditionalFormatting sqref="G8:AA8 G10:AA10">
    <cfRule type="cellIs" dxfId="132" priority="17" operator="equal">
      <formula>0</formula>
    </cfRule>
  </conditionalFormatting>
  <conditionalFormatting sqref="G7:AA7">
    <cfRule type="containsBlanks" dxfId="131" priority="16">
      <formula>LEN(TRIM(G7))=0</formula>
    </cfRule>
  </conditionalFormatting>
  <conditionalFormatting sqref="G7:AA7">
    <cfRule type="cellIs" dxfId="130" priority="15" operator="equal">
      <formula>0</formula>
    </cfRule>
  </conditionalFormatting>
  <conditionalFormatting sqref="A5">
    <cfRule type="containsBlanks" dxfId="129" priority="13">
      <formula>LEN(TRIM(A5))=0</formula>
    </cfRule>
  </conditionalFormatting>
  <conditionalFormatting sqref="F7">
    <cfRule type="containsBlanks" dxfId="128" priority="14">
      <formula>LEN(TRIM(F7))=0</formula>
    </cfRule>
  </conditionalFormatting>
  <conditionalFormatting sqref="B5">
    <cfRule type="containsBlanks" dxfId="127" priority="12">
      <formula>LEN(TRIM(B5))=0</formula>
    </cfRule>
  </conditionalFormatting>
  <conditionalFormatting sqref="A7:E7">
    <cfRule type="containsBlanks" dxfId="126" priority="11">
      <formula>LEN(TRIM(A7))=0</formula>
    </cfRule>
  </conditionalFormatting>
  <conditionalFormatting sqref="G9">
    <cfRule type="containsBlanks" dxfId="125" priority="10">
      <formula>LEN(TRIM(G9))=0</formula>
    </cfRule>
  </conditionalFormatting>
  <conditionalFormatting sqref="H9:AA9">
    <cfRule type="containsBlanks" dxfId="124" priority="9">
      <formula>LEN(TRIM(H9))=0</formula>
    </cfRule>
  </conditionalFormatting>
  <conditionalFormatting sqref="H9:AA9">
    <cfRule type="cellIs" dxfId="123" priority="8" operator="equal">
      <formula>0</formula>
    </cfRule>
  </conditionalFormatting>
  <conditionalFormatting sqref="E5">
    <cfRule type="containsBlanks" dxfId="122" priority="7">
      <formula>LEN(TRIM(E5))=0</formula>
    </cfRule>
  </conditionalFormatting>
  <conditionalFormatting sqref="F5">
    <cfRule type="containsBlanks" dxfId="121" priority="6">
      <formula>LEN(TRIM(F5))=0</formula>
    </cfRule>
  </conditionalFormatting>
  <conditionalFormatting sqref="E6">
    <cfRule type="containsBlanks" dxfId="120" priority="5">
      <formula>LEN(TRIM(E6))=0</formula>
    </cfRule>
  </conditionalFormatting>
  <conditionalFormatting sqref="D6">
    <cfRule type="containsBlanks" dxfId="119" priority="4">
      <formula>LEN(TRIM(D6))=0</formula>
    </cfRule>
  </conditionalFormatting>
  <conditionalFormatting sqref="C6">
    <cfRule type="containsBlanks" dxfId="118" priority="3">
      <formula>LEN(TRIM(C6))=0</formula>
    </cfRule>
  </conditionalFormatting>
  <conditionalFormatting sqref="A6">
    <cfRule type="containsBlanks" dxfId="117" priority="2">
      <formula>LEN(TRIM(A6))=0</formula>
    </cfRule>
  </conditionalFormatting>
  <conditionalFormatting sqref="B6">
    <cfRule type="containsBlanks" dxfId="116" priority="1">
      <formula>LEN(TRIM(B6))=0</formula>
    </cfRule>
  </conditionalFormatting>
  <dataValidations count="1">
    <dataValidation type="list" allowBlank="1" showInputMessage="1" showErrorMessage="1" sqref="E26:E27 E15:E23" xr:uid="{EE3E17ED-9B8F-4ECF-8677-030AE5E4F338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AD6E7-E79D-4DB0-BE2E-B6049BB83044}">
  <sheetPr codeName="Hoja14">
    <tabColor rgb="FF92D050"/>
  </sheetPr>
  <dimension ref="A1:AA32"/>
  <sheetViews>
    <sheetView zoomScaleNormal="100" workbookViewId="0">
      <pane xSplit="4" topLeftCell="G1" activePane="topRight" state="frozen"/>
      <selection activeCell="P9" sqref="P9"/>
      <selection pane="topRight" activeCell="P9" sqref="P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170</v>
      </c>
      <c r="B6" s="70" t="s">
        <v>161</v>
      </c>
      <c r="C6" s="54">
        <v>679</v>
      </c>
      <c r="D6" s="58" t="s">
        <v>171</v>
      </c>
      <c r="E6" s="69">
        <v>10500</v>
      </c>
      <c r="F6" s="7">
        <v>679160425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0.14699999999999999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170</v>
      </c>
      <c r="B7" s="55" t="s">
        <v>161</v>
      </c>
      <c r="C7" s="55">
        <v>679</v>
      </c>
      <c r="D7" s="55" t="s">
        <v>171</v>
      </c>
      <c r="E7" s="55">
        <v>10500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171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150</v>
      </c>
      <c r="G17" s="9">
        <v>15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1"/>
    </row>
    <row r="25" spans="3:27" x14ac:dyDescent="0.25">
      <c r="C25" s="73"/>
      <c r="D25" s="83"/>
      <c r="E25" s="83"/>
      <c r="F25" s="83"/>
      <c r="G25" s="71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7cNX5bF+HuCIlMh8YEshHLrv1gGu51bA8RstSi55zQlb48/+8c/M6ZQ1PIfQ4c/Mby54HYYHmCmnRZTzsL9YSQ==" saltValue="2/5B5TvelDkOU1P8h4CiU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115" priority="29">
      <formula>LEN(TRIM(C6))=0</formula>
    </cfRule>
  </conditionalFormatting>
  <conditionalFormatting sqref="H15:AA23 H6:AA6">
    <cfRule type="cellIs" dxfId="114" priority="28" operator="equal">
      <formula>0</formula>
    </cfRule>
  </conditionalFormatting>
  <conditionalFormatting sqref="G15:G23">
    <cfRule type="cellIs" dxfId="113" priority="26" operator="equal">
      <formula>0</formula>
    </cfRule>
    <cfRule type="containsBlanks" dxfId="112" priority="27">
      <formula>LEN(TRIM(G15))=0</formula>
    </cfRule>
  </conditionalFormatting>
  <conditionalFormatting sqref="H5:AA5">
    <cfRule type="containsBlanks" dxfId="111" priority="25">
      <formula>LEN(TRIM(H5))=0</formula>
    </cfRule>
  </conditionalFormatting>
  <conditionalFormatting sqref="G5">
    <cfRule type="containsBlanks" dxfId="110" priority="24">
      <formula>LEN(TRIM(G5))=0</formula>
    </cfRule>
  </conditionalFormatting>
  <conditionalFormatting sqref="F6:G6">
    <cfRule type="containsBlanks" dxfId="109" priority="23">
      <formula>LEN(TRIM(F6))=0</formula>
    </cfRule>
  </conditionalFormatting>
  <conditionalFormatting sqref="H14:AA14">
    <cfRule type="containsBlanks" dxfId="108" priority="22">
      <formula>LEN(TRIM(H14))=0</formula>
    </cfRule>
  </conditionalFormatting>
  <conditionalFormatting sqref="D5">
    <cfRule type="containsBlanks" dxfId="107" priority="21">
      <formula>LEN(TRIM(D5))=0</formula>
    </cfRule>
  </conditionalFormatting>
  <conditionalFormatting sqref="C5">
    <cfRule type="containsBlanks" dxfId="106" priority="20">
      <formula>LEN(TRIM(C5))=0</formula>
    </cfRule>
  </conditionalFormatting>
  <conditionalFormatting sqref="D14">
    <cfRule type="containsBlanks" dxfId="105" priority="19">
      <formula>LEN(TRIM(D14))=0</formula>
    </cfRule>
  </conditionalFormatting>
  <conditionalFormatting sqref="G8:AA8 G10:AA10">
    <cfRule type="containsBlanks" dxfId="104" priority="18">
      <formula>LEN(TRIM(G8))=0</formula>
    </cfRule>
  </conditionalFormatting>
  <conditionalFormatting sqref="G8:AA8 G10:AA10">
    <cfRule type="cellIs" dxfId="103" priority="17" operator="equal">
      <formula>0</formula>
    </cfRule>
  </conditionalFormatting>
  <conditionalFormatting sqref="G7:AA7">
    <cfRule type="containsBlanks" dxfId="102" priority="16">
      <formula>LEN(TRIM(G7))=0</formula>
    </cfRule>
  </conditionalFormatting>
  <conditionalFormatting sqref="G7:AA7">
    <cfRule type="cellIs" dxfId="101" priority="15" operator="equal">
      <formula>0</formula>
    </cfRule>
  </conditionalFormatting>
  <conditionalFormatting sqref="A5">
    <cfRule type="containsBlanks" dxfId="100" priority="13">
      <formula>LEN(TRIM(A5))=0</formula>
    </cfRule>
  </conditionalFormatting>
  <conditionalFormatting sqref="F7">
    <cfRule type="containsBlanks" dxfId="99" priority="14">
      <formula>LEN(TRIM(F7))=0</formula>
    </cfRule>
  </conditionalFormatting>
  <conditionalFormatting sqref="B5">
    <cfRule type="containsBlanks" dxfId="98" priority="12">
      <formula>LEN(TRIM(B5))=0</formula>
    </cfRule>
  </conditionalFormatting>
  <conditionalFormatting sqref="A7:E7">
    <cfRule type="containsBlanks" dxfId="97" priority="11">
      <formula>LEN(TRIM(A7))=0</formula>
    </cfRule>
  </conditionalFormatting>
  <conditionalFormatting sqref="G9">
    <cfRule type="containsBlanks" dxfId="96" priority="10">
      <formula>LEN(TRIM(G9))=0</formula>
    </cfRule>
  </conditionalFormatting>
  <conditionalFormatting sqref="H9:AA9">
    <cfRule type="containsBlanks" dxfId="95" priority="9">
      <formula>LEN(TRIM(H9))=0</formula>
    </cfRule>
  </conditionalFormatting>
  <conditionalFormatting sqref="H9:AA9">
    <cfRule type="cellIs" dxfId="94" priority="8" operator="equal">
      <formula>0</formula>
    </cfRule>
  </conditionalFormatting>
  <conditionalFormatting sqref="E5">
    <cfRule type="containsBlanks" dxfId="93" priority="7">
      <formula>LEN(TRIM(E5))=0</formula>
    </cfRule>
  </conditionalFormatting>
  <conditionalFormatting sqref="F5">
    <cfRule type="containsBlanks" dxfId="92" priority="6">
      <formula>LEN(TRIM(F5))=0</formula>
    </cfRule>
  </conditionalFormatting>
  <conditionalFormatting sqref="E6">
    <cfRule type="containsBlanks" dxfId="91" priority="5">
      <formula>LEN(TRIM(E6))=0</formula>
    </cfRule>
  </conditionalFormatting>
  <conditionalFormatting sqref="D6">
    <cfRule type="containsBlanks" dxfId="90" priority="4">
      <formula>LEN(TRIM(D6))=0</formula>
    </cfRule>
  </conditionalFormatting>
  <conditionalFormatting sqref="C6">
    <cfRule type="containsBlanks" dxfId="89" priority="3">
      <formula>LEN(TRIM(C6))=0</formula>
    </cfRule>
  </conditionalFormatting>
  <conditionalFormatting sqref="A6">
    <cfRule type="containsBlanks" dxfId="88" priority="2">
      <formula>LEN(TRIM(A6))=0</formula>
    </cfRule>
  </conditionalFormatting>
  <conditionalFormatting sqref="B6">
    <cfRule type="containsBlanks" dxfId="87" priority="1">
      <formula>LEN(TRIM(B6))=0</formula>
    </cfRule>
  </conditionalFormatting>
  <dataValidations count="1">
    <dataValidation type="list" allowBlank="1" showInputMessage="1" showErrorMessage="1" sqref="E26:E27 E15:E23" xr:uid="{C9C77FF7-2FDB-4458-9695-D12E656F3AA6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5B665-5ACD-4E51-B1E1-2183E92B112C}">
  <sheetPr codeName="Hoja16">
    <tabColor rgb="FFADDB6F"/>
  </sheetPr>
  <dimension ref="A1:AA32"/>
  <sheetViews>
    <sheetView zoomScaleNormal="100" workbookViewId="0">
      <pane xSplit="4" topLeftCell="E1" activePane="topRight" state="frozen"/>
      <selection activeCell="P9" sqref="P9"/>
      <selection pane="topRight" activeCell="P9" sqref="P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173</v>
      </c>
      <c r="B6" s="70" t="s">
        <v>172</v>
      </c>
      <c r="C6" s="54">
        <v>679</v>
      </c>
      <c r="D6" s="58" t="s">
        <v>171</v>
      </c>
      <c r="E6" s="69">
        <v>10500</v>
      </c>
      <c r="F6" s="7">
        <v>679210425</v>
      </c>
      <c r="G6" s="77">
        <v>0.109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0.108</v>
      </c>
      <c r="O6" s="8">
        <v>1E-3</v>
      </c>
      <c r="P6" s="8">
        <v>0.14699999999999999</v>
      </c>
      <c r="Q6" s="8">
        <v>1.4999999999999999E-2</v>
      </c>
      <c r="R6" s="8">
        <v>4.9000000000000002E-2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2.8000000000000001E-2</v>
      </c>
      <c r="Z6" s="8">
        <v>0</v>
      </c>
      <c r="AA6" s="8">
        <v>0</v>
      </c>
    </row>
    <row r="7" spans="1:27" ht="19.5" x14ac:dyDescent="0.25">
      <c r="A7" s="55" t="s">
        <v>173</v>
      </c>
      <c r="B7" s="55" t="s">
        <v>172</v>
      </c>
      <c r="C7" s="55">
        <v>679</v>
      </c>
      <c r="D7" s="55" t="s">
        <v>171</v>
      </c>
      <c r="E7" s="55">
        <v>10500</v>
      </c>
      <c r="F7" s="53" t="s">
        <v>113</v>
      </c>
      <c r="G7" s="8" t="s">
        <v>3</v>
      </c>
      <c r="H7" s="8"/>
      <c r="I7" s="8"/>
      <c r="J7" s="8"/>
      <c r="K7" s="8"/>
      <c r="L7" s="8"/>
      <c r="M7" s="8"/>
      <c r="N7" s="8" t="s">
        <v>3</v>
      </c>
      <c r="O7" s="8"/>
      <c r="P7" s="8" t="s">
        <v>3</v>
      </c>
      <c r="Q7" s="8"/>
      <c r="R7" s="8" t="s">
        <v>3</v>
      </c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0.05</v>
      </c>
      <c r="H8" s="8"/>
      <c r="I8" s="8"/>
      <c r="J8" s="8"/>
      <c r="K8" s="8"/>
      <c r="L8" s="8"/>
      <c r="M8" s="8"/>
      <c r="N8" s="8">
        <v>8.9837E-2</v>
      </c>
      <c r="O8" s="8"/>
      <c r="P8" s="8">
        <v>0.13900000000000001</v>
      </c>
      <c r="Q8" s="8"/>
      <c r="R8" s="8">
        <v>4.3250000000000004E-2</v>
      </c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171</v>
      </c>
      <c r="E9" s="60"/>
      <c r="F9" s="61"/>
      <c r="G9" s="77">
        <v>0.1</v>
      </c>
      <c r="H9" s="8"/>
      <c r="I9" s="8">
        <v>0</v>
      </c>
      <c r="J9" s="8"/>
      <c r="K9" s="8"/>
      <c r="L9" s="8"/>
      <c r="M9" s="8"/>
      <c r="N9" s="8">
        <v>0.1</v>
      </c>
      <c r="O9" s="8">
        <v>0</v>
      </c>
      <c r="P9" s="8">
        <v>0.16</v>
      </c>
      <c r="Q9" s="8"/>
      <c r="R9" s="8">
        <v>0.05</v>
      </c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0.15000000000000002</v>
      </c>
      <c r="H10" s="8"/>
      <c r="I10" s="8"/>
      <c r="J10" s="8"/>
      <c r="K10" s="8"/>
      <c r="L10" s="8"/>
      <c r="M10" s="8"/>
      <c r="N10" s="8">
        <v>0.11016300000000001</v>
      </c>
      <c r="O10" s="8"/>
      <c r="P10" s="8">
        <v>0.18099999999999999</v>
      </c>
      <c r="Q10" s="8"/>
      <c r="R10" s="8">
        <v>5.6750000000000002E-2</v>
      </c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370</v>
      </c>
      <c r="E16" s="9" t="s">
        <v>85</v>
      </c>
      <c r="F16" s="9">
        <v>50</v>
      </c>
      <c r="G16" s="9">
        <v>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2.4E-2</v>
      </c>
      <c r="P16" s="10">
        <v>6.2E-2</v>
      </c>
      <c r="Q16" s="10">
        <v>0.04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0.56899999999999995</v>
      </c>
      <c r="Z16" s="10">
        <v>0</v>
      </c>
      <c r="AA16" s="11">
        <v>0</v>
      </c>
    </row>
    <row r="17" spans="3:27" x14ac:dyDescent="0.25">
      <c r="D17" s="9">
        <v>105</v>
      </c>
      <c r="E17" s="9" t="s">
        <v>119</v>
      </c>
      <c r="F17" s="9">
        <v>150</v>
      </c>
      <c r="G17" s="9">
        <v>15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0.44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1">
        <v>0</v>
      </c>
    </row>
    <row r="18" spans="3:27" x14ac:dyDescent="0.25">
      <c r="D18" s="9">
        <v>120</v>
      </c>
      <c r="E18" s="9" t="s">
        <v>154</v>
      </c>
      <c r="F18" s="9">
        <v>300</v>
      </c>
      <c r="G18" s="9">
        <v>30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0.26</v>
      </c>
      <c r="Q18" s="10">
        <v>0</v>
      </c>
      <c r="R18" s="10">
        <v>0.13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290</v>
      </c>
      <c r="E19" s="9" t="s">
        <v>167</v>
      </c>
      <c r="F19" s="9">
        <v>450</v>
      </c>
      <c r="G19" s="9">
        <v>45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0.24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2"/>
    </row>
    <row r="25" spans="3:27" x14ac:dyDescent="0.25">
      <c r="C25" s="73"/>
      <c r="D25" s="83"/>
      <c r="E25" s="83"/>
      <c r="F25" s="83"/>
      <c r="G25" s="7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Ioc83OsjqwH8QYwmNSf3KEHVSprx+vXZw5AGRLaUBOMvPa2oXe+7O5H3ue0OXPqFhF8vwu/hpFaiOrL3BPpRug==" saltValue="vOKQ+9PdyWeyVFptsdWpk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86" priority="29">
      <formula>LEN(TRIM(C6))=0</formula>
    </cfRule>
  </conditionalFormatting>
  <conditionalFormatting sqref="H15:AA23 H6:AA6">
    <cfRule type="cellIs" dxfId="85" priority="28" operator="equal">
      <formula>0</formula>
    </cfRule>
  </conditionalFormatting>
  <conditionalFormatting sqref="G15:G23">
    <cfRule type="cellIs" dxfId="84" priority="26" operator="equal">
      <formula>0</formula>
    </cfRule>
    <cfRule type="containsBlanks" dxfId="83" priority="27">
      <formula>LEN(TRIM(G15))=0</formula>
    </cfRule>
  </conditionalFormatting>
  <conditionalFormatting sqref="H5:AA5">
    <cfRule type="containsBlanks" dxfId="82" priority="25">
      <formula>LEN(TRIM(H5))=0</formula>
    </cfRule>
  </conditionalFormatting>
  <conditionalFormatting sqref="G5">
    <cfRule type="containsBlanks" dxfId="81" priority="24">
      <formula>LEN(TRIM(G5))=0</formula>
    </cfRule>
  </conditionalFormatting>
  <conditionalFormatting sqref="F6:G6">
    <cfRule type="containsBlanks" dxfId="80" priority="23">
      <formula>LEN(TRIM(F6))=0</formula>
    </cfRule>
  </conditionalFormatting>
  <conditionalFormatting sqref="H14:AA14">
    <cfRule type="containsBlanks" dxfId="79" priority="22">
      <formula>LEN(TRIM(H14))=0</formula>
    </cfRule>
  </conditionalFormatting>
  <conditionalFormatting sqref="D5">
    <cfRule type="containsBlanks" dxfId="78" priority="21">
      <formula>LEN(TRIM(D5))=0</formula>
    </cfRule>
  </conditionalFormatting>
  <conditionalFormatting sqref="C5">
    <cfRule type="containsBlanks" dxfId="77" priority="20">
      <formula>LEN(TRIM(C5))=0</formula>
    </cfRule>
  </conditionalFormatting>
  <conditionalFormatting sqref="D14">
    <cfRule type="containsBlanks" dxfId="76" priority="19">
      <formula>LEN(TRIM(D14))=0</formula>
    </cfRule>
  </conditionalFormatting>
  <conditionalFormatting sqref="G8:AA8 G10:AA10">
    <cfRule type="containsBlanks" dxfId="75" priority="18">
      <formula>LEN(TRIM(G8))=0</formula>
    </cfRule>
  </conditionalFormatting>
  <conditionalFormatting sqref="G8:AA8 G10:AA10">
    <cfRule type="cellIs" dxfId="74" priority="17" operator="equal">
      <formula>0</formula>
    </cfRule>
  </conditionalFormatting>
  <conditionalFormatting sqref="G7:AA7">
    <cfRule type="containsBlanks" dxfId="73" priority="16">
      <formula>LEN(TRIM(G7))=0</formula>
    </cfRule>
  </conditionalFormatting>
  <conditionalFormatting sqref="G7:AA7">
    <cfRule type="cellIs" dxfId="72" priority="15" operator="equal">
      <formula>0</formula>
    </cfRule>
  </conditionalFormatting>
  <conditionalFormatting sqref="A5">
    <cfRule type="containsBlanks" dxfId="71" priority="13">
      <formula>LEN(TRIM(A5))=0</formula>
    </cfRule>
  </conditionalFormatting>
  <conditionalFormatting sqref="F7">
    <cfRule type="containsBlanks" dxfId="70" priority="14">
      <formula>LEN(TRIM(F7))=0</formula>
    </cfRule>
  </conditionalFormatting>
  <conditionalFormatting sqref="B5">
    <cfRule type="containsBlanks" dxfId="69" priority="12">
      <formula>LEN(TRIM(B5))=0</formula>
    </cfRule>
  </conditionalFormatting>
  <conditionalFormatting sqref="A7:E7">
    <cfRule type="containsBlanks" dxfId="68" priority="11">
      <formula>LEN(TRIM(A7))=0</formula>
    </cfRule>
  </conditionalFormatting>
  <conditionalFormatting sqref="H9:AA9">
    <cfRule type="containsBlanks" dxfId="67" priority="9">
      <formula>LEN(TRIM(H9))=0</formula>
    </cfRule>
  </conditionalFormatting>
  <conditionalFormatting sqref="G9">
    <cfRule type="containsBlanks" dxfId="66" priority="10">
      <formula>LEN(TRIM(G9))=0</formula>
    </cfRule>
  </conditionalFormatting>
  <conditionalFormatting sqref="H9:AA9">
    <cfRule type="cellIs" dxfId="65" priority="8" operator="equal">
      <formula>0</formula>
    </cfRule>
  </conditionalFormatting>
  <conditionalFormatting sqref="D6">
    <cfRule type="containsBlanks" dxfId="64" priority="4">
      <formula>LEN(TRIM(D6))=0</formula>
    </cfRule>
  </conditionalFormatting>
  <conditionalFormatting sqref="C6">
    <cfRule type="containsBlanks" dxfId="63" priority="3">
      <formula>LEN(TRIM(C6))=0</formula>
    </cfRule>
  </conditionalFormatting>
  <conditionalFormatting sqref="E5">
    <cfRule type="containsBlanks" dxfId="62" priority="7">
      <formula>LEN(TRIM(E5))=0</formula>
    </cfRule>
  </conditionalFormatting>
  <conditionalFormatting sqref="F5">
    <cfRule type="containsBlanks" dxfId="61" priority="6">
      <formula>LEN(TRIM(F5))=0</formula>
    </cfRule>
  </conditionalFormatting>
  <conditionalFormatting sqref="E6">
    <cfRule type="containsBlanks" dxfId="60" priority="5">
      <formula>LEN(TRIM(E6))=0</formula>
    </cfRule>
  </conditionalFormatting>
  <conditionalFormatting sqref="A6">
    <cfRule type="containsBlanks" dxfId="59" priority="2">
      <formula>LEN(TRIM(A6))=0</formula>
    </cfRule>
  </conditionalFormatting>
  <conditionalFormatting sqref="B6">
    <cfRule type="containsBlanks" dxfId="58" priority="1">
      <formula>LEN(TRIM(B6))=0</formula>
    </cfRule>
  </conditionalFormatting>
  <dataValidations count="1">
    <dataValidation type="list" allowBlank="1" showInputMessage="1" showErrorMessage="1" sqref="E15:E23 E26:E27" xr:uid="{D4F4CF7B-2769-4D53-A2B8-3DE51A434BB6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B5370-0641-483F-AA81-3F863545159E}">
  <sheetPr codeName="Hoja9">
    <tabColor rgb="FFADDB6F"/>
  </sheetPr>
  <dimension ref="A1:AA32"/>
  <sheetViews>
    <sheetView zoomScaleNormal="100" workbookViewId="0">
      <pane xSplit="4" topLeftCell="E1" activePane="topRight" state="frozen"/>
      <selection activeCell="P9" sqref="P9"/>
      <selection pane="topRight" activeCell="P9" sqref="P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174</v>
      </c>
      <c r="B6" s="70" t="s">
        <v>172</v>
      </c>
      <c r="C6" s="54">
        <v>62</v>
      </c>
      <c r="D6" s="58" t="s">
        <v>175</v>
      </c>
      <c r="E6" s="69">
        <v>10500</v>
      </c>
      <c r="F6" s="7">
        <v>62210425</v>
      </c>
      <c r="G6" s="77"/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1.4E-2</v>
      </c>
      <c r="P6" s="8">
        <v>0.191</v>
      </c>
      <c r="Q6" s="8">
        <v>3.6999999999999998E-2</v>
      </c>
      <c r="R6" s="8">
        <v>0.01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0.34100000000000003</v>
      </c>
      <c r="Z6" s="8">
        <v>0</v>
      </c>
      <c r="AA6" s="8">
        <v>0</v>
      </c>
    </row>
    <row r="7" spans="1:27" ht="19.5" x14ac:dyDescent="0.25">
      <c r="A7" s="55" t="s">
        <v>174</v>
      </c>
      <c r="B7" s="55" t="s">
        <v>172</v>
      </c>
      <c r="C7" s="55">
        <v>62</v>
      </c>
      <c r="D7" s="55" t="s">
        <v>175</v>
      </c>
      <c r="E7" s="55">
        <v>10500</v>
      </c>
      <c r="F7" s="53" t="s">
        <v>113</v>
      </c>
      <c r="G7" s="8"/>
      <c r="H7" s="8"/>
      <c r="I7" s="8"/>
      <c r="J7" s="8"/>
      <c r="K7" s="8"/>
      <c r="L7" s="8"/>
      <c r="M7" s="8"/>
      <c r="N7" s="8"/>
      <c r="O7" s="8"/>
      <c r="P7" s="8" t="s">
        <v>156</v>
      </c>
      <c r="Q7" s="8" t="s">
        <v>156</v>
      </c>
      <c r="R7" s="8" t="s">
        <v>3</v>
      </c>
      <c r="S7" s="8"/>
      <c r="T7" s="8"/>
      <c r="U7" s="8"/>
      <c r="V7" s="8"/>
      <c r="W7" s="8"/>
      <c r="X7" s="8"/>
      <c r="Y7" s="8" t="s">
        <v>124</v>
      </c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/>
      <c r="H8" s="8"/>
      <c r="I8" s="8"/>
      <c r="J8" s="8"/>
      <c r="K8" s="8"/>
      <c r="L8" s="8"/>
      <c r="M8" s="8"/>
      <c r="N8" s="8"/>
      <c r="O8" s="8"/>
      <c r="P8" s="8">
        <v>0.13900000000000001</v>
      </c>
      <c r="Q8" s="8">
        <v>3.7499999999999999E-3</v>
      </c>
      <c r="R8" s="8">
        <v>6.2500000000000003E-3</v>
      </c>
      <c r="S8" s="8"/>
      <c r="T8" s="8"/>
      <c r="U8" s="8"/>
      <c r="V8" s="8"/>
      <c r="W8" s="8"/>
      <c r="X8" s="8"/>
      <c r="Y8" s="8" t="s">
        <v>126</v>
      </c>
      <c r="Z8" s="8"/>
      <c r="AA8" s="8"/>
    </row>
    <row r="9" spans="1:27" ht="19.5" x14ac:dyDescent="0.25">
      <c r="C9" s="59" t="s">
        <v>157</v>
      </c>
      <c r="D9" s="62" t="s">
        <v>175</v>
      </c>
      <c r="E9" s="60"/>
      <c r="F9" s="61"/>
      <c r="G9" s="77"/>
      <c r="H9" s="8"/>
      <c r="I9" s="8"/>
      <c r="J9" s="8"/>
      <c r="K9" s="8"/>
      <c r="L9" s="8"/>
      <c r="M9" s="8"/>
      <c r="N9" s="8"/>
      <c r="O9" s="8"/>
      <c r="P9" s="8">
        <v>0.16</v>
      </c>
      <c r="Q9" s="8">
        <v>0.01</v>
      </c>
      <c r="R9" s="8">
        <v>0.01</v>
      </c>
      <c r="S9" s="8"/>
      <c r="T9" s="8"/>
      <c r="U9" s="8"/>
      <c r="V9" s="8"/>
      <c r="W9" s="8"/>
      <c r="X9" s="8"/>
      <c r="Y9" s="8">
        <v>0.3</v>
      </c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/>
      <c r="H10" s="8"/>
      <c r="I10" s="8"/>
      <c r="J10" s="8"/>
      <c r="K10" s="8"/>
      <c r="L10" s="8"/>
      <c r="M10" s="8"/>
      <c r="N10" s="8"/>
      <c r="O10" s="8"/>
      <c r="P10" s="8">
        <v>0.18099999999999999</v>
      </c>
      <c r="Q10" s="8">
        <v>1.6250000000000001E-2</v>
      </c>
      <c r="R10" s="8">
        <v>1.375E-2</v>
      </c>
      <c r="S10" s="8"/>
      <c r="T10" s="8"/>
      <c r="U10" s="8"/>
      <c r="V10" s="8"/>
      <c r="W10" s="8"/>
      <c r="X10" s="8"/>
      <c r="Y10" s="8" t="s">
        <v>126</v>
      </c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74</v>
      </c>
      <c r="E15" s="9" t="s">
        <v>39</v>
      </c>
      <c r="F15" s="9">
        <v>50</v>
      </c>
      <c r="G15" s="9">
        <v>5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0.25</v>
      </c>
      <c r="R15" s="10">
        <v>0.2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105</v>
      </c>
      <c r="E16" s="9" t="s">
        <v>119</v>
      </c>
      <c r="F16" s="9">
        <v>350</v>
      </c>
      <c r="G16" s="9">
        <v>35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0.44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370</v>
      </c>
      <c r="E17" s="9" t="s">
        <v>177</v>
      </c>
      <c r="F17" s="9">
        <v>600</v>
      </c>
      <c r="G17" s="9">
        <v>60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2.4E-2</v>
      </c>
      <c r="P17" s="10">
        <v>6.2E-2</v>
      </c>
      <c r="Q17" s="10">
        <v>0.04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0.56899999999999995</v>
      </c>
      <c r="Z17" s="10">
        <v>0</v>
      </c>
      <c r="AA17" s="11">
        <v>0</v>
      </c>
    </row>
    <row r="18" spans="3:27" x14ac:dyDescent="0.25">
      <c r="D18" s="9"/>
      <c r="E18" s="9"/>
      <c r="F18" s="9"/>
      <c r="G18" s="9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/>
      <c r="E19" s="9"/>
      <c r="F19" s="9"/>
      <c r="G19" s="9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/>
      <c r="E20" s="9"/>
      <c r="F20" s="9"/>
      <c r="G20" s="9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2"/>
    </row>
    <row r="25" spans="3:27" x14ac:dyDescent="0.25">
      <c r="C25" s="73"/>
      <c r="D25" s="83"/>
      <c r="E25" s="83"/>
      <c r="F25" s="83"/>
      <c r="G25" s="72"/>
    </row>
    <row r="26" spans="3:27" x14ac:dyDescent="0.25">
      <c r="D26" s="9">
        <v>214</v>
      </c>
      <c r="E26" s="9" t="s">
        <v>120</v>
      </c>
      <c r="F26" s="9">
        <v>100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FVwRSRrK4gwYI+Mn9nY9gORxY4H/RklB4WGKaPXXpTRy9y8Crrvph29I/IyPSNQ7eLjPEsi1ztcu73scKLMDyQ==" saltValue="aF+TIvILSw7AVvEfhFPi7g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57" priority="29">
      <formula>LEN(TRIM(C6))=0</formula>
    </cfRule>
  </conditionalFormatting>
  <conditionalFormatting sqref="H15:AA23 H6:AA6">
    <cfRule type="cellIs" dxfId="56" priority="28" operator="equal">
      <formula>0</formula>
    </cfRule>
  </conditionalFormatting>
  <conditionalFormatting sqref="G15:G23">
    <cfRule type="cellIs" dxfId="55" priority="26" operator="equal">
      <formula>0</formula>
    </cfRule>
    <cfRule type="containsBlanks" dxfId="54" priority="27">
      <formula>LEN(TRIM(G15))=0</formula>
    </cfRule>
  </conditionalFormatting>
  <conditionalFormatting sqref="H5:AA5">
    <cfRule type="containsBlanks" dxfId="53" priority="25">
      <formula>LEN(TRIM(H5))=0</formula>
    </cfRule>
  </conditionalFormatting>
  <conditionalFormatting sqref="G5">
    <cfRule type="containsBlanks" dxfId="52" priority="24">
      <formula>LEN(TRIM(G5))=0</formula>
    </cfRule>
  </conditionalFormatting>
  <conditionalFormatting sqref="F6:G6">
    <cfRule type="containsBlanks" dxfId="51" priority="23">
      <formula>LEN(TRIM(F6))=0</formula>
    </cfRule>
  </conditionalFormatting>
  <conditionalFormatting sqref="H14:AA14">
    <cfRule type="containsBlanks" dxfId="50" priority="22">
      <formula>LEN(TRIM(H14))=0</formula>
    </cfRule>
  </conditionalFormatting>
  <conditionalFormatting sqref="D5">
    <cfRule type="containsBlanks" dxfId="49" priority="21">
      <formula>LEN(TRIM(D5))=0</formula>
    </cfRule>
  </conditionalFormatting>
  <conditionalFormatting sqref="C5">
    <cfRule type="containsBlanks" dxfId="48" priority="20">
      <formula>LEN(TRIM(C5))=0</formula>
    </cfRule>
  </conditionalFormatting>
  <conditionalFormatting sqref="D14">
    <cfRule type="containsBlanks" dxfId="47" priority="19">
      <formula>LEN(TRIM(D14))=0</formula>
    </cfRule>
  </conditionalFormatting>
  <conditionalFormatting sqref="G8:AA8 G10:AA10">
    <cfRule type="containsBlanks" dxfId="46" priority="18">
      <formula>LEN(TRIM(G8))=0</formula>
    </cfRule>
  </conditionalFormatting>
  <conditionalFormatting sqref="G8:AA8 G10:AA10">
    <cfRule type="cellIs" dxfId="45" priority="17" operator="equal">
      <formula>0</formula>
    </cfRule>
  </conditionalFormatting>
  <conditionalFormatting sqref="G7:AA7">
    <cfRule type="containsBlanks" dxfId="44" priority="16">
      <formula>LEN(TRIM(G7))=0</formula>
    </cfRule>
  </conditionalFormatting>
  <conditionalFormatting sqref="G7:AA7">
    <cfRule type="cellIs" dxfId="43" priority="15" operator="equal">
      <formula>0</formula>
    </cfRule>
  </conditionalFormatting>
  <conditionalFormatting sqref="A5">
    <cfRule type="containsBlanks" dxfId="42" priority="13">
      <formula>LEN(TRIM(A5))=0</formula>
    </cfRule>
  </conditionalFormatting>
  <conditionalFormatting sqref="F7">
    <cfRule type="containsBlanks" dxfId="41" priority="14">
      <formula>LEN(TRIM(F7))=0</formula>
    </cfRule>
  </conditionalFormatting>
  <conditionalFormatting sqref="B5">
    <cfRule type="containsBlanks" dxfId="40" priority="12">
      <formula>LEN(TRIM(B5))=0</formula>
    </cfRule>
  </conditionalFormatting>
  <conditionalFormatting sqref="A7:E7">
    <cfRule type="containsBlanks" dxfId="39" priority="11">
      <formula>LEN(TRIM(A7))=0</formula>
    </cfRule>
  </conditionalFormatting>
  <conditionalFormatting sqref="H9:AA9">
    <cfRule type="containsBlanks" dxfId="38" priority="9">
      <formula>LEN(TRIM(H9))=0</formula>
    </cfRule>
  </conditionalFormatting>
  <conditionalFormatting sqref="G9">
    <cfRule type="containsBlanks" dxfId="37" priority="10">
      <formula>LEN(TRIM(G9))=0</formula>
    </cfRule>
  </conditionalFormatting>
  <conditionalFormatting sqref="H9:AA9">
    <cfRule type="cellIs" dxfId="36" priority="8" operator="equal">
      <formula>0</formula>
    </cfRule>
  </conditionalFormatting>
  <conditionalFormatting sqref="D6">
    <cfRule type="containsBlanks" dxfId="35" priority="4">
      <formula>LEN(TRIM(D6))=0</formula>
    </cfRule>
  </conditionalFormatting>
  <conditionalFormatting sqref="C6">
    <cfRule type="containsBlanks" dxfId="34" priority="3">
      <formula>LEN(TRIM(C6))=0</formula>
    </cfRule>
  </conditionalFormatting>
  <conditionalFormatting sqref="E5">
    <cfRule type="containsBlanks" dxfId="33" priority="7">
      <formula>LEN(TRIM(E5))=0</formula>
    </cfRule>
  </conditionalFormatting>
  <conditionalFormatting sqref="F5">
    <cfRule type="containsBlanks" dxfId="32" priority="6">
      <formula>LEN(TRIM(F5))=0</formula>
    </cfRule>
  </conditionalFormatting>
  <conditionalFormatting sqref="E6">
    <cfRule type="containsBlanks" dxfId="31" priority="5">
      <formula>LEN(TRIM(E6))=0</formula>
    </cfRule>
  </conditionalFormatting>
  <conditionalFormatting sqref="A6">
    <cfRule type="containsBlanks" dxfId="30" priority="2">
      <formula>LEN(TRIM(A6))=0</formula>
    </cfRule>
  </conditionalFormatting>
  <conditionalFormatting sqref="B6">
    <cfRule type="containsBlanks" dxfId="29" priority="1">
      <formula>LEN(TRIM(B6))=0</formula>
    </cfRule>
  </conditionalFormatting>
  <dataValidations count="1">
    <dataValidation type="list" allowBlank="1" showInputMessage="1" showErrorMessage="1" sqref="E15:E23 E26:E27" xr:uid="{FCF01CA5-EEA3-45C8-A106-5DEE7D7D6B01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6DA44-E221-4CC8-B58A-B263C9150FF1}">
  <sheetPr codeName="Hoja15">
    <tabColor rgb="FFADDB6F"/>
  </sheetPr>
  <dimension ref="A1:AA32"/>
  <sheetViews>
    <sheetView zoomScaleNormal="100" workbookViewId="0">
      <pane xSplit="4" topLeftCell="E1" activePane="topRight" state="frozen"/>
      <selection activeCell="P9" sqref="P9"/>
      <selection pane="topRight" activeCell="P9" sqref="P9"/>
    </sheetView>
  </sheetViews>
  <sheetFormatPr baseColWidth="10" defaultColWidth="9.140625" defaultRowHeight="15" x14ac:dyDescent="0.25"/>
  <cols>
    <col min="1" max="1" width="10.28515625" customWidth="1"/>
    <col min="2" max="2" width="13" bestFit="1" customWidth="1"/>
    <col min="3" max="3" width="14.7109375" bestFit="1" customWidth="1"/>
    <col min="4" max="4" width="28.42578125" bestFit="1" customWidth="1"/>
    <col min="5" max="5" width="27.42578125" bestFit="1" customWidth="1"/>
    <col min="6" max="6" width="20.28515625" bestFit="1" customWidth="1"/>
    <col min="7" max="7" width="7.7109375" bestFit="1" customWidth="1"/>
    <col min="8" max="8" width="7.28515625" customWidth="1"/>
    <col min="9" max="9" width="7.5703125" bestFit="1" customWidth="1"/>
    <col min="10" max="10" width="8.85546875" customWidth="1"/>
    <col min="11" max="11" width="9.7109375" customWidth="1"/>
    <col min="12" max="12" width="11.85546875" customWidth="1"/>
    <col min="13" max="13" width="10.7109375" bestFit="1" customWidth="1"/>
    <col min="14" max="14" width="7.7109375" bestFit="1" customWidth="1"/>
    <col min="15" max="15" width="9.42578125" bestFit="1" customWidth="1"/>
    <col min="16" max="16" width="10.28515625" bestFit="1" customWidth="1"/>
    <col min="17" max="17" width="10.85546875" bestFit="1" customWidth="1"/>
    <col min="18" max="18" width="10.28515625" bestFit="1" customWidth="1"/>
    <col min="19" max="19" width="7.28515625" bestFit="1" customWidth="1"/>
    <col min="20" max="20" width="8.5703125" bestFit="1" customWidth="1"/>
    <col min="21" max="21" width="8.7109375" bestFit="1" customWidth="1"/>
    <col min="22" max="22" width="8.28515625" bestFit="1" customWidth="1"/>
    <col min="23" max="23" width="9.28515625" bestFit="1" customWidth="1"/>
    <col min="25" max="25" width="10.7109375" bestFit="1" customWidth="1"/>
    <col min="26" max="26" width="8.5703125" bestFit="1" customWidth="1"/>
    <col min="27" max="27" width="8.85546875" bestFit="1" customWidth="1"/>
  </cols>
  <sheetData>
    <row r="1" spans="1:27" ht="15" customHeight="1" x14ac:dyDescent="0.25">
      <c r="A1" s="57"/>
      <c r="B1" s="63"/>
      <c r="C1" s="64"/>
      <c r="D1" s="84" t="s">
        <v>125</v>
      </c>
      <c r="E1" s="85"/>
      <c r="F1" s="21" t="s">
        <v>103</v>
      </c>
    </row>
    <row r="2" spans="1:27" x14ac:dyDescent="0.25">
      <c r="A2" s="57"/>
      <c r="B2" s="65"/>
      <c r="C2" s="66"/>
      <c r="D2" s="86"/>
      <c r="E2" s="87"/>
      <c r="F2" s="22" t="s">
        <v>104</v>
      </c>
    </row>
    <row r="3" spans="1:27" x14ac:dyDescent="0.25">
      <c r="A3" s="57"/>
      <c r="B3" s="67"/>
      <c r="C3" s="68"/>
      <c r="D3" s="52" t="s">
        <v>106</v>
      </c>
      <c r="E3" s="56" t="s">
        <v>107</v>
      </c>
      <c r="F3" s="23"/>
    </row>
    <row r="5" spans="1:27" ht="19.5" x14ac:dyDescent="0.25">
      <c r="A5" s="12" t="s">
        <v>95</v>
      </c>
      <c r="B5" s="12" t="s">
        <v>121</v>
      </c>
      <c r="C5" s="12" t="s">
        <v>96</v>
      </c>
      <c r="D5" s="12" t="s">
        <v>23</v>
      </c>
      <c r="E5" s="12" t="s">
        <v>42</v>
      </c>
      <c r="F5" s="12" t="s">
        <v>41</v>
      </c>
      <c r="G5" s="12" t="s">
        <v>159</v>
      </c>
      <c r="H5" s="12" t="s">
        <v>3</v>
      </c>
      <c r="I5" s="12" t="s">
        <v>4</v>
      </c>
      <c r="J5" s="12" t="s">
        <v>5</v>
      </c>
      <c r="K5" s="12" t="s">
        <v>6</v>
      </c>
      <c r="L5" s="12" t="s">
        <v>7</v>
      </c>
      <c r="M5" s="12" t="s">
        <v>8</v>
      </c>
      <c r="N5" s="12" t="s">
        <v>9</v>
      </c>
      <c r="O5" s="12" t="s">
        <v>10</v>
      </c>
      <c r="P5" s="12" t="s">
        <v>11</v>
      </c>
      <c r="Q5" s="12" t="s">
        <v>12</v>
      </c>
      <c r="R5" s="12" t="s">
        <v>13</v>
      </c>
      <c r="S5" s="12" t="s">
        <v>14</v>
      </c>
      <c r="T5" s="12" t="s">
        <v>15</v>
      </c>
      <c r="U5" s="12" t="s">
        <v>16</v>
      </c>
      <c r="V5" s="12" t="s">
        <v>17</v>
      </c>
      <c r="W5" s="12" t="s">
        <v>18</v>
      </c>
      <c r="X5" s="12" t="s">
        <v>19</v>
      </c>
      <c r="Y5" s="12" t="s">
        <v>20</v>
      </c>
      <c r="Z5" s="12" t="s">
        <v>21</v>
      </c>
      <c r="AA5" s="12" t="s">
        <v>22</v>
      </c>
    </row>
    <row r="6" spans="1:27" ht="19.5" x14ac:dyDescent="0.25">
      <c r="A6" s="54" t="s">
        <v>178</v>
      </c>
      <c r="B6" s="70" t="s">
        <v>172</v>
      </c>
      <c r="C6" s="54">
        <v>602</v>
      </c>
      <c r="D6" s="58" t="s">
        <v>144</v>
      </c>
      <c r="E6" s="69">
        <v>1000</v>
      </c>
      <c r="F6" s="7">
        <v>602210425</v>
      </c>
      <c r="G6" s="77">
        <v>0.375</v>
      </c>
      <c r="H6" s="8">
        <v>0.01</v>
      </c>
      <c r="I6" s="8">
        <v>0.152</v>
      </c>
      <c r="J6" s="8">
        <v>1.4E-2</v>
      </c>
      <c r="K6" s="8">
        <v>0</v>
      </c>
      <c r="L6" s="8">
        <v>0</v>
      </c>
      <c r="M6" s="8">
        <v>7.4999999999999997E-2</v>
      </c>
      <c r="N6" s="8">
        <v>0.21099999999999999</v>
      </c>
      <c r="O6" s="8">
        <v>1.2E-2</v>
      </c>
      <c r="P6" s="8">
        <v>4.5999999999999999E-2</v>
      </c>
      <c r="Q6" s="8">
        <v>6.3E-2</v>
      </c>
      <c r="R6" s="8">
        <v>1.7999999999999999E-2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0.10199999999999999</v>
      </c>
      <c r="Z6" s="8">
        <v>0</v>
      </c>
      <c r="AA6" s="8">
        <v>0</v>
      </c>
    </row>
    <row r="7" spans="1:27" ht="19.5" x14ac:dyDescent="0.25">
      <c r="A7" s="55" t="s">
        <v>178</v>
      </c>
      <c r="B7" s="55" t="s">
        <v>172</v>
      </c>
      <c r="C7" s="55">
        <v>602</v>
      </c>
      <c r="D7" s="55" t="s">
        <v>144</v>
      </c>
      <c r="E7" s="55">
        <v>1000</v>
      </c>
      <c r="F7" s="53" t="s">
        <v>113</v>
      </c>
      <c r="G7" s="8" t="s">
        <v>3</v>
      </c>
      <c r="H7" s="8"/>
      <c r="I7" s="8" t="s">
        <v>3</v>
      </c>
      <c r="J7" s="8"/>
      <c r="K7" s="8"/>
      <c r="L7" s="8"/>
      <c r="M7" s="8"/>
      <c r="N7" s="8" t="s">
        <v>3</v>
      </c>
      <c r="O7" s="8" t="s">
        <v>3</v>
      </c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5" x14ac:dyDescent="0.25">
      <c r="C8" s="88" t="s">
        <v>108</v>
      </c>
      <c r="D8" s="89"/>
      <c r="E8" s="89"/>
      <c r="F8" s="90"/>
      <c r="G8" s="8">
        <v>0.32</v>
      </c>
      <c r="H8" s="8"/>
      <c r="I8" s="8">
        <v>0.13839699999999999</v>
      </c>
      <c r="J8" s="8"/>
      <c r="K8" s="8"/>
      <c r="L8" s="8"/>
      <c r="M8" s="8"/>
      <c r="N8" s="8">
        <v>0.19699899999999998</v>
      </c>
      <c r="O8" s="8">
        <v>5.2970000000000005E-3</v>
      </c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5" x14ac:dyDescent="0.25">
      <c r="C9" s="59" t="s">
        <v>157</v>
      </c>
      <c r="D9" s="62" t="s">
        <v>144</v>
      </c>
      <c r="E9" s="60"/>
      <c r="F9" s="61"/>
      <c r="G9" s="77">
        <v>0.37</v>
      </c>
      <c r="H9" s="8"/>
      <c r="I9" s="8">
        <v>0.15</v>
      </c>
      <c r="J9" s="8"/>
      <c r="K9" s="8"/>
      <c r="L9" s="8"/>
      <c r="M9" s="8"/>
      <c r="N9" s="8">
        <v>0.21</v>
      </c>
      <c r="O9" s="8">
        <v>0.01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5" x14ac:dyDescent="0.25">
      <c r="C10" s="91" t="s">
        <v>109</v>
      </c>
      <c r="D10" s="92"/>
      <c r="E10" s="92"/>
      <c r="F10" s="93"/>
      <c r="G10" s="8">
        <v>0.42</v>
      </c>
      <c r="H10" s="8"/>
      <c r="I10" s="8">
        <v>0.161603</v>
      </c>
      <c r="J10" s="8"/>
      <c r="K10" s="8"/>
      <c r="L10" s="8"/>
      <c r="M10" s="8"/>
      <c r="N10" s="8">
        <v>0.223001</v>
      </c>
      <c r="O10" s="8">
        <v>1.4703000000000001E-2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4" spans="1:27" ht="19.5" x14ac:dyDescent="0.25">
      <c r="D14" s="12" t="s">
        <v>96</v>
      </c>
      <c r="E14" s="12" t="s">
        <v>0</v>
      </c>
      <c r="F14" s="12" t="s">
        <v>35</v>
      </c>
      <c r="G14" s="12" t="s">
        <v>37</v>
      </c>
      <c r="H14" s="12" t="s">
        <v>3</v>
      </c>
      <c r="I14" s="12" t="s">
        <v>4</v>
      </c>
      <c r="J14" s="12" t="s">
        <v>5</v>
      </c>
      <c r="K14" s="12" t="s">
        <v>6</v>
      </c>
      <c r="L14" s="12" t="s">
        <v>7</v>
      </c>
      <c r="M14" s="12" t="s">
        <v>8</v>
      </c>
      <c r="N14" s="12" t="s">
        <v>9</v>
      </c>
      <c r="O14" s="12" t="s">
        <v>10</v>
      </c>
      <c r="P14" s="12" t="s">
        <v>11</v>
      </c>
      <c r="Q14" s="12" t="s">
        <v>12</v>
      </c>
      <c r="R14" s="12" t="s">
        <v>13</v>
      </c>
      <c r="S14" s="12" t="s">
        <v>14</v>
      </c>
      <c r="T14" s="12" t="s">
        <v>15</v>
      </c>
      <c r="U14" s="12" t="s">
        <v>16</v>
      </c>
      <c r="V14" s="12" t="s">
        <v>17</v>
      </c>
      <c r="W14" s="12" t="s">
        <v>18</v>
      </c>
      <c r="X14" s="12" t="s">
        <v>19</v>
      </c>
      <c r="Y14" s="12" t="s">
        <v>20</v>
      </c>
      <c r="Z14" s="12" t="s">
        <v>21</v>
      </c>
      <c r="AA14" s="12" t="s">
        <v>22</v>
      </c>
    </row>
    <row r="15" spans="1:27" x14ac:dyDescent="0.25">
      <c r="D15" s="9">
        <v>12</v>
      </c>
      <c r="E15" s="9" t="s">
        <v>129</v>
      </c>
      <c r="F15" s="9">
        <v>162.5</v>
      </c>
      <c r="G15" s="9">
        <v>16.25</v>
      </c>
      <c r="H15" s="10">
        <v>0</v>
      </c>
      <c r="I15" s="10">
        <v>0.46</v>
      </c>
      <c r="J15" s="10">
        <v>0</v>
      </c>
      <c r="K15" s="10">
        <v>0</v>
      </c>
      <c r="L15" s="10">
        <v>0</v>
      </c>
      <c r="M15" s="10">
        <v>0.46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1">
        <v>0</v>
      </c>
    </row>
    <row r="16" spans="1:27" x14ac:dyDescent="0.25">
      <c r="D16" s="9">
        <v>32</v>
      </c>
      <c r="E16" s="9" t="s">
        <v>130</v>
      </c>
      <c r="F16" s="9">
        <v>67.5</v>
      </c>
      <c r="G16" s="9">
        <v>6.75</v>
      </c>
      <c r="H16" s="10">
        <v>0</v>
      </c>
      <c r="I16" s="10">
        <v>0.21</v>
      </c>
      <c r="J16" s="10">
        <v>0.21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0.24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1">
        <v>0</v>
      </c>
    </row>
    <row r="17" spans="3:27" x14ac:dyDescent="0.25">
      <c r="D17" s="9">
        <v>35</v>
      </c>
      <c r="E17" s="9" t="s">
        <v>131</v>
      </c>
      <c r="F17" s="9">
        <v>200</v>
      </c>
      <c r="G17" s="9">
        <v>20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0.05</v>
      </c>
      <c r="O17" s="10">
        <v>0</v>
      </c>
      <c r="P17" s="10">
        <v>0</v>
      </c>
      <c r="Q17" s="10">
        <v>0.3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0.3</v>
      </c>
      <c r="Z17" s="10">
        <v>0</v>
      </c>
      <c r="AA17" s="11">
        <v>0</v>
      </c>
    </row>
    <row r="18" spans="3:27" x14ac:dyDescent="0.25">
      <c r="D18" s="9">
        <v>97</v>
      </c>
      <c r="E18" s="9" t="s">
        <v>142</v>
      </c>
      <c r="F18" s="9">
        <v>350</v>
      </c>
      <c r="G18" s="9">
        <v>35</v>
      </c>
      <c r="H18" s="10">
        <v>0</v>
      </c>
      <c r="I18" s="10">
        <v>0.18</v>
      </c>
      <c r="J18" s="10">
        <v>0</v>
      </c>
      <c r="K18" s="10">
        <v>0</v>
      </c>
      <c r="L18" s="10">
        <v>0</v>
      </c>
      <c r="M18" s="10">
        <v>0</v>
      </c>
      <c r="N18" s="10">
        <v>0.46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1">
        <v>0</v>
      </c>
    </row>
    <row r="19" spans="3:27" x14ac:dyDescent="0.25">
      <c r="D19" s="9">
        <v>144</v>
      </c>
      <c r="E19" s="9" t="s">
        <v>133</v>
      </c>
      <c r="F19" s="9">
        <v>20</v>
      </c>
      <c r="G19" s="9">
        <v>2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0.6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1">
        <v>0</v>
      </c>
    </row>
    <row r="20" spans="3:27" x14ac:dyDescent="0.25">
      <c r="D20" s="9">
        <v>160</v>
      </c>
      <c r="E20" s="9" t="s">
        <v>145</v>
      </c>
      <c r="F20" s="9">
        <v>200</v>
      </c>
      <c r="G20" s="9">
        <v>20</v>
      </c>
      <c r="H20" s="10">
        <v>0.05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0.2</v>
      </c>
      <c r="O20" s="10">
        <v>0</v>
      </c>
      <c r="P20" s="10">
        <v>0.23</v>
      </c>
      <c r="Q20" s="10">
        <v>1.4999999999999999E-2</v>
      </c>
      <c r="R20" s="10">
        <v>0.01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0.21</v>
      </c>
      <c r="Z20" s="10">
        <v>0</v>
      </c>
      <c r="AA20" s="11">
        <v>0</v>
      </c>
    </row>
    <row r="21" spans="3:27" x14ac:dyDescent="0.25">
      <c r="D21" s="9"/>
      <c r="E21" s="9"/>
      <c r="F21" s="9"/>
      <c r="G21" s="9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1">
        <v>0</v>
      </c>
    </row>
    <row r="22" spans="3:27" x14ac:dyDescent="0.25">
      <c r="D22" s="9"/>
      <c r="E22" s="9"/>
      <c r="F22" s="9"/>
      <c r="G22" s="9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1">
        <v>0</v>
      </c>
    </row>
    <row r="23" spans="3:27" x14ac:dyDescent="0.25">
      <c r="D23" s="9"/>
      <c r="E23" s="9"/>
      <c r="F23" s="80"/>
      <c r="G23" s="9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1">
        <v>0</v>
      </c>
    </row>
    <row r="24" spans="3:27" x14ac:dyDescent="0.25">
      <c r="C24" s="73"/>
      <c r="D24" s="82"/>
      <c r="E24" s="82"/>
      <c r="F24" s="82"/>
      <c r="G24" s="72"/>
    </row>
    <row r="25" spans="3:27" x14ac:dyDescent="0.25">
      <c r="C25" s="73"/>
      <c r="D25" s="83"/>
      <c r="E25" s="83"/>
      <c r="F25" s="83"/>
      <c r="G25" s="72"/>
    </row>
    <row r="26" spans="3:27" x14ac:dyDescent="0.25">
      <c r="D26" s="9">
        <v>450</v>
      </c>
      <c r="E26" s="9" t="s">
        <v>134</v>
      </c>
      <c r="F26" s="9">
        <v>0.45</v>
      </c>
    </row>
    <row r="27" spans="3:27" x14ac:dyDescent="0.25">
      <c r="D27" s="9"/>
      <c r="E27" s="9"/>
      <c r="F27" s="9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30" spans="3:27" x14ac:dyDescent="0.25">
      <c r="C30" s="20"/>
    </row>
    <row r="31" spans="3:27" x14ac:dyDescent="0.25">
      <c r="C31" s="20"/>
    </row>
    <row r="32" spans="3:27" x14ac:dyDescent="0.25">
      <c r="C32" s="20"/>
    </row>
  </sheetData>
  <sheetProtection algorithmName="SHA-512" hashValue="XVtb1xmdAPvoVdpJ59MtKChj33ywg5FGPT5ZgimNPVWPf8X20tFV+4YwHEaCxSEJAnntgQRheHpTaDhMx5hisA==" saltValue="IZT1E3NXJF7Qo/Mzz4r2wA==" spinCount="100000" sheet="1" objects="1" scenarios="1"/>
  <mergeCells count="4">
    <mergeCell ref="D1:E2"/>
    <mergeCell ref="C8:F8"/>
    <mergeCell ref="C10:F10"/>
    <mergeCell ref="D24:F25"/>
  </mergeCells>
  <conditionalFormatting sqref="C8:C10 H6:AA6 E14:G14">
    <cfRule type="containsBlanks" dxfId="28" priority="29">
      <formula>LEN(TRIM(C6))=0</formula>
    </cfRule>
  </conditionalFormatting>
  <conditionalFormatting sqref="H15:AA23 H6:AA6">
    <cfRule type="cellIs" dxfId="27" priority="28" operator="equal">
      <formula>0</formula>
    </cfRule>
  </conditionalFormatting>
  <conditionalFormatting sqref="G15:G23">
    <cfRule type="cellIs" dxfId="26" priority="26" operator="equal">
      <formula>0</formula>
    </cfRule>
    <cfRule type="containsBlanks" dxfId="25" priority="27">
      <formula>LEN(TRIM(G15))=0</formula>
    </cfRule>
  </conditionalFormatting>
  <conditionalFormatting sqref="H5:AA5">
    <cfRule type="containsBlanks" dxfId="24" priority="25">
      <formula>LEN(TRIM(H5))=0</formula>
    </cfRule>
  </conditionalFormatting>
  <conditionalFormatting sqref="G5">
    <cfRule type="containsBlanks" dxfId="23" priority="24">
      <formula>LEN(TRIM(G5))=0</formula>
    </cfRule>
  </conditionalFormatting>
  <conditionalFormatting sqref="F6:G6">
    <cfRule type="containsBlanks" dxfId="22" priority="23">
      <formula>LEN(TRIM(F6))=0</formula>
    </cfRule>
  </conditionalFormatting>
  <conditionalFormatting sqref="H14:AA14">
    <cfRule type="containsBlanks" dxfId="21" priority="22">
      <formula>LEN(TRIM(H14))=0</formula>
    </cfRule>
  </conditionalFormatting>
  <conditionalFormatting sqref="D5">
    <cfRule type="containsBlanks" dxfId="20" priority="21">
      <formula>LEN(TRIM(D5))=0</formula>
    </cfRule>
  </conditionalFormatting>
  <conditionalFormatting sqref="C5">
    <cfRule type="containsBlanks" dxfId="19" priority="20">
      <formula>LEN(TRIM(C5))=0</formula>
    </cfRule>
  </conditionalFormatting>
  <conditionalFormatting sqref="D14">
    <cfRule type="containsBlanks" dxfId="18" priority="19">
      <formula>LEN(TRIM(D14))=0</formula>
    </cfRule>
  </conditionalFormatting>
  <conditionalFormatting sqref="G8:AA8 G10:AA10">
    <cfRule type="containsBlanks" dxfId="17" priority="18">
      <formula>LEN(TRIM(G8))=0</formula>
    </cfRule>
  </conditionalFormatting>
  <conditionalFormatting sqref="G8:AA8 G10:AA10">
    <cfRule type="cellIs" dxfId="16" priority="17" operator="equal">
      <formula>0</formula>
    </cfRule>
  </conditionalFormatting>
  <conditionalFormatting sqref="G7:AA7">
    <cfRule type="containsBlanks" dxfId="15" priority="16">
      <formula>LEN(TRIM(G7))=0</formula>
    </cfRule>
  </conditionalFormatting>
  <conditionalFormatting sqref="G7:AA7">
    <cfRule type="cellIs" dxfId="14" priority="15" operator="equal">
      <formula>0</formula>
    </cfRule>
  </conditionalFormatting>
  <conditionalFormatting sqref="A5">
    <cfRule type="containsBlanks" dxfId="13" priority="13">
      <formula>LEN(TRIM(A5))=0</formula>
    </cfRule>
  </conditionalFormatting>
  <conditionalFormatting sqref="F7">
    <cfRule type="containsBlanks" dxfId="12" priority="14">
      <formula>LEN(TRIM(F7))=0</formula>
    </cfRule>
  </conditionalFormatting>
  <conditionalFormatting sqref="B5">
    <cfRule type="containsBlanks" dxfId="11" priority="12">
      <formula>LEN(TRIM(B5))=0</formula>
    </cfRule>
  </conditionalFormatting>
  <conditionalFormatting sqref="A7:E7">
    <cfRule type="containsBlanks" dxfId="10" priority="11">
      <formula>LEN(TRIM(A7))=0</formula>
    </cfRule>
  </conditionalFormatting>
  <conditionalFormatting sqref="H9:AA9">
    <cfRule type="containsBlanks" dxfId="9" priority="9">
      <formula>LEN(TRIM(H9))=0</formula>
    </cfRule>
  </conditionalFormatting>
  <conditionalFormatting sqref="G9">
    <cfRule type="containsBlanks" dxfId="8" priority="10">
      <formula>LEN(TRIM(G9))=0</formula>
    </cfRule>
  </conditionalFormatting>
  <conditionalFormatting sqref="H9:AA9">
    <cfRule type="cellIs" dxfId="7" priority="8" operator="equal">
      <formula>0</formula>
    </cfRule>
  </conditionalFormatting>
  <conditionalFormatting sqref="D6">
    <cfRule type="containsBlanks" dxfId="6" priority="4">
      <formula>LEN(TRIM(D6))=0</formula>
    </cfRule>
  </conditionalFormatting>
  <conditionalFormatting sqref="C6">
    <cfRule type="containsBlanks" dxfId="5" priority="3">
      <formula>LEN(TRIM(C6))=0</formula>
    </cfRule>
  </conditionalFormatting>
  <conditionalFormatting sqref="E5">
    <cfRule type="containsBlanks" dxfId="4" priority="7">
      <formula>LEN(TRIM(E5))=0</formula>
    </cfRule>
  </conditionalFormatting>
  <conditionalFormatting sqref="F5">
    <cfRule type="containsBlanks" dxfId="3" priority="6">
      <formula>LEN(TRIM(F5))=0</formula>
    </cfRule>
  </conditionalFormatting>
  <conditionalFormatting sqref="E6">
    <cfRule type="containsBlanks" dxfId="2" priority="5">
      <formula>LEN(TRIM(E6))=0</formula>
    </cfRule>
  </conditionalFormatting>
  <conditionalFormatting sqref="A6">
    <cfRule type="containsBlanks" dxfId="1" priority="2">
      <formula>LEN(TRIM(A6))=0</formula>
    </cfRule>
  </conditionalFormatting>
  <conditionalFormatting sqref="B6">
    <cfRule type="containsBlanks" dxfId="0" priority="1">
      <formula>LEN(TRIM(B6))=0</formula>
    </cfRule>
  </conditionalFormatting>
  <dataValidations count="1">
    <dataValidation type="list" allowBlank="1" showInputMessage="1" showErrorMessage="1" sqref="E26:E27 E15:E23" xr:uid="{CE677AFB-6301-4650-A181-077CF2CC4D04}">
      <formula1>CID</formula1>
    </dataValidation>
  </dataValidations>
  <pageMargins left="0.75" right="0.75" top="1" bottom="1" header="0.5" footer="0.5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14</vt:i4>
      </vt:variant>
    </vt:vector>
  </HeadingPairs>
  <TitlesOfParts>
    <vt:vector size="30" baseType="lpstr">
      <vt:lpstr>Lista de Materias Primas</vt:lpstr>
      <vt:lpstr>Registro</vt:lpstr>
      <vt:lpstr>Verificación de Formulación</vt:lpstr>
      <vt:lpstr>memoria_calculo</vt:lpstr>
      <vt:lpstr>OP001_563140425</vt:lpstr>
      <vt:lpstr>OP002_510140425</vt:lpstr>
      <vt:lpstr>OP003_489140425</vt:lpstr>
      <vt:lpstr>OP004_602140425</vt:lpstr>
      <vt:lpstr>OP005_603140425</vt:lpstr>
      <vt:lpstr>OP006_841140425</vt:lpstr>
      <vt:lpstr>OP007_65150425</vt:lpstr>
      <vt:lpstr>OP008_679160425</vt:lpstr>
      <vt:lpstr>OP009_679160425</vt:lpstr>
      <vt:lpstr>OP010_679210425</vt:lpstr>
      <vt:lpstr>OP011_62210425</vt:lpstr>
      <vt:lpstr>OP013_603210425</vt:lpstr>
      <vt:lpstr>OP001_563140425!Área_de_impresión</vt:lpstr>
      <vt:lpstr>OP002_510140425!Área_de_impresión</vt:lpstr>
      <vt:lpstr>OP003_489140425!Área_de_impresión</vt:lpstr>
      <vt:lpstr>OP004_602140425!Área_de_impresión</vt:lpstr>
      <vt:lpstr>OP005_603140425!Área_de_impresión</vt:lpstr>
      <vt:lpstr>OP006_841140425!Área_de_impresión</vt:lpstr>
      <vt:lpstr>OP007_65150425!Área_de_impresión</vt:lpstr>
      <vt:lpstr>OP008_679160425!Área_de_impresión</vt:lpstr>
      <vt:lpstr>OP009_679160425!Área_de_impresión</vt:lpstr>
      <vt:lpstr>OP010_679210425!Área_de_impresión</vt:lpstr>
      <vt:lpstr>OP011_62210425!Área_de_impresión</vt:lpstr>
      <vt:lpstr>OP013_603210425!Área_de_impresión</vt:lpstr>
      <vt:lpstr>'Verificación de Formulación'!Área_de_impresión</vt:lpstr>
      <vt:lpstr>CID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CALFERQUIM</dc:creator>
  <cp:lastModifiedBy>DIRECCION TECNICA</cp:lastModifiedBy>
  <cp:lastPrinted>2025-04-15T15:12:03Z</cp:lastPrinted>
  <dcterms:created xsi:type="dcterms:W3CDTF">2025-01-02T16:48:40Z</dcterms:created>
  <dcterms:modified xsi:type="dcterms:W3CDTF">2025-04-23T21:41:46Z</dcterms:modified>
</cp:coreProperties>
</file>