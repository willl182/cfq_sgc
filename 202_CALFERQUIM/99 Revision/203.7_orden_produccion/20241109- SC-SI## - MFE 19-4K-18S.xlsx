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B4AB1004-06CB-4740-97BD-0EDEC054A77A}" xr6:coauthVersionLast="47" xr6:coauthVersionMax="47" xr10:uidLastSave="{00000000-0000-0000-0000-000000000000}"/>
  <bookViews>
    <workbookView xWindow="3240" yWindow="3465" windowWidth="14490" windowHeight="11295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1" l="1"/>
  <c r="F22" i="1"/>
  <c r="F21" i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<sst xmlns="http://schemas.openxmlformats.org/spreadsheetml/2006/main" count="104" uniqueCount="51">
  <si>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</si>
  <si>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</si>
  <si>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</si>
  <si>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</si>
  <si>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</si>
  <si>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</si>
  <si>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</si>
  <si>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</si>
  <si>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</si>
  <si>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</si>
  <si>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</si>
  <si>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</si>
  <si>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</si>
  <si>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</si>
  <si>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</si>
  <si>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</si>
  <si>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</si>
  <si>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</si>
  <si>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</si>
  <si>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</si>
  <si>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</si>
  <si>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</si>
  <si>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</si>
  <si>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</si>
  <si>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</si>
  <si>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</si>
  <si>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</si>
  <si>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</si>
  <si>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</si>
  <si>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</si>
  <si>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</si>
  <si>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</si>
  <si>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</si>
  <si>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</si>
  <si>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</si>
  <si>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</si>
  <si>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G</t>
  </si>
  <si>
    <t>RAIFOS 20</t>
  </si>
  <si>
    <t>MFE 19-4K-18S</t>
  </si>
  <si>
    <t>586-091124</t>
  </si>
  <si>
    <t>UREA</t>
  </si>
  <si>
    <t>DAP</t>
  </si>
  <si>
    <t>KCL</t>
  </si>
  <si>
    <t>BORO</t>
  </si>
  <si>
    <t>CALFERZIN-P</t>
  </si>
  <si>
    <t>SILIMAGRAN</t>
  </si>
  <si>
    <t>ZUELO CA</t>
  </si>
  <si>
    <t>CALFERQUIM</t>
  </si>
  <si>
    <t>SQM</t>
  </si>
  <si>
    <t>DISAN</t>
  </si>
  <si>
    <t>EVOAGRO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</si>
</sst>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topLeftCell="N7" zoomScale="85" zoomScaleNormal="85" workbookViewId="0">
      <selection activeCell="N7" sqref="N7:T7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80" t="s">
        <v>27</v>
      </c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9"/>
      <c r="U2" s="81" t="s">
        <v>24</v>
      </c>
      <c r="V2" s="82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1" t="s">
        <v>25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4"/>
      <c r="U3" s="81" t="s">
        <v>24</v>
      </c>
      <c r="V3" s="82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77" t="s">
        <v>34</v>
      </c>
      <c r="H6" s="78"/>
      <c r="I6" s="78"/>
      <c r="J6" s="78"/>
      <c r="K6" s="78"/>
      <c r="L6" s="78"/>
      <c r="M6" s="79"/>
      <c r="N6" s="77" t="s">
        <v>35</v>
      </c>
      <c r="O6" s="78"/>
      <c r="P6" s="78"/>
      <c r="Q6" s="78"/>
      <c r="R6" s="78"/>
      <c r="S6" s="78"/>
      <c r="T6" s="79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2" t="s">
        <v>38</v>
      </c>
      <c r="H7" s="73"/>
      <c r="I7" s="73"/>
      <c r="J7" s="73"/>
      <c r="K7" s="73"/>
      <c r="L7" s="73"/>
      <c r="M7" s="73"/>
      <c r="N7" s="74" t="s">
        <v>39</v>
      </c>
      <c r="O7" s="75"/>
      <c r="P7" s="75"/>
      <c r="Q7" s="75"/>
      <c r="R7" s="75"/>
      <c r="S7" s="75"/>
      <c r="T7" s="76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65" t="s">
        <v>29</v>
      </c>
      <c r="C9" s="66"/>
      <c r="D9" s="66"/>
      <c r="E9" s="66"/>
      <c r="F9" s="66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3" t="s">
        <v>28</v>
      </c>
      <c r="C10" s="64"/>
      <c r="D10" s="64"/>
      <c r="E10" s="64"/>
      <c r="F10" s="64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67" t="s">
        <v>30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9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74" t="s">
        <v>33</v>
      </c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6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40</v>
      </c>
      <c r="C17" s="44" t="s">
        <v>50</v>
      </c>
      <c r="D17" s="44" t="s">
        <v>9</v>
      </c>
      <c r="E17" s="46">
        <v>400</v>
      </c>
      <c r="F17" s="27">
        <f>E17/10</f>
        <v>40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41</v>
      </c>
      <c r="C18" s="44" t="s">
        <v>49</v>
      </c>
      <c r="D18" s="44" t="s">
        <v>9</v>
      </c>
      <c r="E18" s="46">
        <v>40</v>
      </c>
      <c r="F18" s="27">
        <f t="shared" ref="F18:F31" si="1">E18/10</f>
        <v>4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42</v>
      </c>
      <c r="C19" s="44" t="s">
        <v>48</v>
      </c>
      <c r="D19" s="44" t="s">
        <v>36</v>
      </c>
      <c r="E19" s="46">
        <v>300</v>
      </c>
      <c r="F19" s="27">
        <f t="shared" si="1"/>
        <v>30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37</v>
      </c>
      <c r="C20" s="44" t="s">
        <v>47</v>
      </c>
      <c r="D20" s="44" t="s">
        <v>36</v>
      </c>
      <c r="E20" s="46">
        <v>80</v>
      </c>
      <c r="F20" s="27">
        <f t="shared" si="1"/>
        <v>8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43</v>
      </c>
      <c r="C21" s="44" t="s">
        <v>47</v>
      </c>
      <c r="D21" s="44"/>
      <c r="E21" s="46">
        <v>20</v>
      </c>
      <c r="F21" s="27">
        <f t="shared" si="1"/>
        <v>2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 t="s">
        <v>44</v>
      </c>
      <c r="C22" s="44" t="s">
        <v>47</v>
      </c>
      <c r="D22" s="44"/>
      <c r="E22" s="46">
        <v>10</v>
      </c>
      <c r="F22" s="27">
        <f t="shared" si="1"/>
        <v>1</v>
      </c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 t="s">
        <v>45</v>
      </c>
      <c r="C23" s="44" t="s">
        <v>47</v>
      </c>
      <c r="D23" s="44"/>
      <c r="E23" s="46">
        <v>50</v>
      </c>
      <c r="F23" s="27">
        <f t="shared" si="1"/>
        <v>5</v>
      </c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 t="s">
        <v>46</v>
      </c>
      <c r="C24" s="44" t="s">
        <v>47</v>
      </c>
      <c r="D24" s="44"/>
      <c r="E24" s="46">
        <v>100</v>
      </c>
      <c r="F24" s="27">
        <f t="shared" si="1"/>
        <v>10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UREA</v>
      </c>
      <c r="C35" s="44" t="str">
        <f>C17</f>
        <v>EVOAGRO</v>
      </c>
      <c r="D35" s="44" t="str">
        <f>D17</f>
        <v>P</v>
      </c>
      <c r="E35" s="46">
        <f>E17</f>
        <v>400</v>
      </c>
      <c r="F35" s="62">
        <f t="shared" ref="F35:F40" si="2">E35/10</f>
        <v>40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DAP</v>
      </c>
      <c r="C36" s="44" t="str">
        <f t="shared" ref="C36:D49" si="7">C18</f>
        <v>DISAN</v>
      </c>
      <c r="D36" s="44" t="str">
        <f t="shared" si="7"/>
        <v>P</v>
      </c>
      <c r="E36" s="46">
        <f t="shared" si="6"/>
        <v>40</v>
      </c>
      <c r="F36" s="46">
        <f t="shared" si="2"/>
        <v>4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KCL</v>
      </c>
      <c r="C37" s="44" t="str">
        <f t="shared" si="7"/>
        <v>SQM</v>
      </c>
      <c r="D37" s="44" t="str">
        <f t="shared" si="7"/>
        <v>G</v>
      </c>
      <c r="E37" s="46">
        <f t="shared" si="6"/>
        <v>300</v>
      </c>
      <c r="F37" s="46">
        <f t="shared" si="2"/>
        <v>30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RAIFOS 20</v>
      </c>
      <c r="C38" s="44" t="str">
        <f t="shared" si="7"/>
        <v>CALFERQUIM</v>
      </c>
      <c r="D38" s="44" t="str">
        <f t="shared" si="7"/>
        <v>G</v>
      </c>
      <c r="E38" s="46">
        <f t="shared" si="6"/>
        <v>80</v>
      </c>
      <c r="F38" s="46">
        <f t="shared" si="2"/>
        <v>8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BORO</v>
      </c>
      <c r="C39" s="44" t="str">
        <f t="shared" si="7"/>
        <v>CALFERQUIM</v>
      </c>
      <c r="D39" s="44">
        <f t="shared" si="7"/>
        <v>0</v>
      </c>
      <c r="E39" s="46">
        <f t="shared" si="6"/>
        <v>20</v>
      </c>
      <c r="F39" s="46">
        <f t="shared" si="2"/>
        <v>2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 t="str">
        <f t="shared" si="6"/>
        <v>CALFERZIN-P</v>
      </c>
      <c r="C40" s="44" t="str">
        <f t="shared" si="7"/>
        <v>CALFERQUIM</v>
      </c>
      <c r="D40" s="44">
        <f t="shared" si="7"/>
        <v>0</v>
      </c>
      <c r="E40" s="46">
        <f t="shared" si="6"/>
        <v>10</v>
      </c>
      <c r="F40" s="46">
        <f t="shared" si="2"/>
        <v>1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 t="str">
        <f t="shared" si="6"/>
        <v>SILIMAGRAN</v>
      </c>
      <c r="C41" s="44" t="str">
        <f t="shared" si="7"/>
        <v>CALFERQUIM</v>
      </c>
      <c r="D41" s="44">
        <f t="shared" si="7"/>
        <v>0</v>
      </c>
      <c r="E41" s="46">
        <f t="shared" si="6"/>
        <v>50</v>
      </c>
      <c r="F41" s="46">
        <f t="shared" ref="F41:F49" si="13">E41/10</f>
        <v>5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 t="str">
        <f t="shared" si="6"/>
        <v>ZUELO CA</v>
      </c>
      <c r="C42" s="44" t="str">
        <f t="shared" si="7"/>
        <v>CALFERQUIM</v>
      </c>
      <c r="D42" s="44">
        <f t="shared" si="7"/>
        <v>0</v>
      </c>
      <c r="E42" s="46">
        <f t="shared" si="6"/>
        <v>100</v>
      </c>
      <c r="F42" s="46">
        <f t="shared" si="13"/>
        <v>10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2024-11-13T16:17:05Z</dcterms:modified>
</cp:coreProperties>
</file>