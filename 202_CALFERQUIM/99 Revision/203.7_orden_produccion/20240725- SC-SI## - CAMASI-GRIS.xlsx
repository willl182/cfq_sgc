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D78CE255-410C-4CCD-87ED-DDBF2EC0B828}" xr6:coauthVersionLast="47" xr6:coauthVersionMax="47" xr10:uidLastSave="{00000000-0000-0000-0000-000000000000}"/>
  <bookViews>
    <workbookView xWindow="11235" yWindow="136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<sst xmlns="http://schemas.openxmlformats.org/spreadsheetml/2006/main" count="91" uniqueCount="44">
  <si>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</si>
  <si>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</si>
  <si>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</si>
  <si>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</si>
  <si>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</si>
  <si>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</si>
  <si>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</si>
  <si>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</si>
  <si>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</si>
  <si>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</si>
  <si>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</si>
  <si>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</si>
  <si>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</si>
  <si>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</si>
  <si>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</si>
  <si>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</si>
  <si>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</si>
  <si>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</si>
  <si>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</si>
  <si>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</si>
  <si>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</si>
  <si>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</si>
  <si>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</si>
  <si>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</si>
  <si>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</si>
  <si>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</si>
  <si>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</si>
  <si>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</si>
  <si>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</si>
  <si>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</si>
  <si>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</si>
  <si>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</si>
  <si>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</si>
  <si>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</si>
  <si>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</si>
  <si>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</si>
  <si>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MANUCHAR</t>
  </si>
  <si>
    <t xml:space="preserve">KIESERITA </t>
  </si>
  <si>
    <t>CAMASI GRIS</t>
  </si>
  <si>
    <t>62-250724</t>
  </si>
  <si>
    <t>CARBONATO DE CALCIO</t>
  </si>
  <si>
    <t>AGROCALES</t>
  </si>
  <si>
    <t>CAOLIN/BENTONITA GRIS</t>
  </si>
  <si>
    <t>HENRY CORONADO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</si>
</sst>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2" borderId="0" xfId="0" applyNumberFormat="1" applyFill="1" applyBorder="1"/>
    <xf numFmtId="10" fontId="0" fillId="2" borderId="0" xfId="0" applyNumberFormat="1" applyFill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A19" sqref="A19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9" t="s">
        <v>27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9"/>
      <c r="U2" s="70" t="s">
        <v>24</v>
      </c>
      <c r="V2" s="71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80" t="s">
        <v>25</v>
      </c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14"/>
      <c r="U3" s="70" t="s">
        <v>24</v>
      </c>
      <c r="V3" s="71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63" t="s">
        <v>34</v>
      </c>
      <c r="H6" s="64"/>
      <c r="I6" s="64"/>
      <c r="J6" s="64"/>
      <c r="K6" s="64"/>
      <c r="L6" s="64"/>
      <c r="M6" s="65"/>
      <c r="N6" s="63" t="s">
        <v>35</v>
      </c>
      <c r="O6" s="64"/>
      <c r="P6" s="64"/>
      <c r="Q6" s="64"/>
      <c r="R6" s="64"/>
      <c r="S6" s="64"/>
      <c r="T6" s="65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1" t="s">
        <v>38</v>
      </c>
      <c r="H7" s="82"/>
      <c r="I7" s="82"/>
      <c r="J7" s="82"/>
      <c r="K7" s="82"/>
      <c r="L7" s="82"/>
      <c r="M7" s="82"/>
      <c r="N7" s="66" t="s">
        <v>39</v>
      </c>
      <c r="O7" s="67"/>
      <c r="P7" s="67"/>
      <c r="Q7" s="67"/>
      <c r="R7" s="67"/>
      <c r="S7" s="67"/>
      <c r="T7" s="68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4" t="s">
        <v>29</v>
      </c>
      <c r="C9" s="75"/>
      <c r="D9" s="75"/>
      <c r="E9" s="75"/>
      <c r="F9" s="75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2" t="s">
        <v>28</v>
      </c>
      <c r="C10" s="73"/>
      <c r="D10" s="73"/>
      <c r="E10" s="73"/>
      <c r="F10" s="73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0.19119999999999998</v>
      </c>
      <c r="P10" s="32">
        <f t="shared" si="0"/>
        <v>3.6500000000000005E-2</v>
      </c>
      <c r="Q10" s="32">
        <f t="shared" si="0"/>
        <v>0.01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0.34139999999999998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6" t="s">
        <v>30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8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6" t="s">
        <v>33</v>
      </c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36</v>
      </c>
      <c r="D17" s="44" t="s">
        <v>9</v>
      </c>
      <c r="E17" s="46">
        <v>50</v>
      </c>
      <c r="F17" s="27">
        <f>E17/10</f>
        <v>5</v>
      </c>
      <c r="G17" s="56"/>
      <c r="H17" s="57"/>
      <c r="I17" s="57"/>
      <c r="J17" s="57"/>
      <c r="K17" s="57"/>
      <c r="L17" s="57"/>
      <c r="M17" s="57"/>
      <c r="N17" s="57"/>
      <c r="O17" s="57"/>
      <c r="P17" s="83">
        <v>0.25</v>
      </c>
      <c r="Q17" s="83">
        <v>0.2</v>
      </c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40</v>
      </c>
      <c r="C18" s="44" t="s">
        <v>41</v>
      </c>
      <c r="D18" s="44"/>
      <c r="E18" s="46">
        <v>350</v>
      </c>
      <c r="F18" s="27">
        <f t="shared" ref="F18:F31" si="1">E18/10</f>
        <v>35</v>
      </c>
      <c r="G18" s="56"/>
      <c r="H18" s="57"/>
      <c r="I18" s="57"/>
      <c r="J18" s="57"/>
      <c r="K18" s="57"/>
      <c r="L18" s="57"/>
      <c r="M18" s="57"/>
      <c r="N18" s="57"/>
      <c r="O18" s="83">
        <v>0.44</v>
      </c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42</v>
      </c>
      <c r="C19" s="44" t="s">
        <v>43</v>
      </c>
      <c r="D19" s="44"/>
      <c r="E19" s="46">
        <v>600</v>
      </c>
      <c r="F19" s="27">
        <f t="shared" si="1"/>
        <v>60</v>
      </c>
      <c r="G19" s="56"/>
      <c r="H19" s="57"/>
      <c r="I19" s="57"/>
      <c r="J19" s="57"/>
      <c r="K19" s="57"/>
      <c r="L19" s="57"/>
      <c r="M19" s="57"/>
      <c r="N19" s="84"/>
      <c r="O19" s="84">
        <v>6.2E-2</v>
      </c>
      <c r="P19" s="83">
        <v>0.04</v>
      </c>
      <c r="Q19" s="57"/>
      <c r="R19" s="57"/>
      <c r="S19" s="57"/>
      <c r="T19" s="57"/>
      <c r="U19" s="57"/>
      <c r="V19" s="57"/>
      <c r="W19" s="57"/>
      <c r="X19" s="84">
        <v>0.56899999999999995</v>
      </c>
      <c r="Y19" s="57"/>
      <c r="Z19" s="58"/>
      <c r="AY19" s="4"/>
    </row>
    <row r="20" spans="2:51" x14ac:dyDescent="0.45">
      <c r="B20" s="44"/>
      <c r="C20" s="44"/>
      <c r="D20" s="44"/>
      <c r="E20" s="46"/>
      <c r="F20" s="27"/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/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 xml:space="preserve">KIESERITA </v>
      </c>
      <c r="C35" s="44" t="str">
        <f>C17</f>
        <v>MANUCHAR</v>
      </c>
      <c r="D35" s="44" t="str">
        <f>D17</f>
        <v>P</v>
      </c>
      <c r="E35" s="46">
        <f>E17</f>
        <v>50</v>
      </c>
      <c r="F35" s="62">
        <f t="shared" ref="F35:F40" si="2">E35/10</f>
        <v>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>
        <f t="shared" si="5"/>
        <v>1.2500000000000001E-2</v>
      </c>
      <c r="Q35" s="42">
        <f t="shared" si="5"/>
        <v>0.01</v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>
        <f t="shared" si="7"/>
        <v>0</v>
      </c>
      <c r="E36" s="46">
        <f t="shared" si="6"/>
        <v>350</v>
      </c>
      <c r="F36" s="46">
        <f t="shared" si="2"/>
        <v>35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>
        <f t="shared" si="8"/>
        <v>0.154</v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CAOLIN/BENTONITA GRIS</v>
      </c>
      <c r="C37" s="44" t="str">
        <f t="shared" si="7"/>
        <v>HENRY CORONADO</v>
      </c>
      <c r="D37" s="44">
        <f t="shared" si="7"/>
        <v>0</v>
      </c>
      <c r="E37" s="46">
        <f t="shared" si="6"/>
        <v>600</v>
      </c>
      <c r="F37" s="46">
        <f t="shared" si="2"/>
        <v>60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>
        <f t="shared" si="9"/>
        <v>3.7199999999999997E-2</v>
      </c>
      <c r="P37" s="3">
        <f t="shared" si="9"/>
        <v>2.4E-2</v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>
        <f t="shared" si="9"/>
        <v>0.34139999999999998</v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>
        <f t="shared" si="6"/>
        <v>0</v>
      </c>
      <c r="C38" s="44">
        <f t="shared" si="7"/>
        <v>0</v>
      </c>
      <c r="D38" s="44">
        <f t="shared" si="7"/>
        <v>0</v>
      </c>
      <c r="E38" s="46">
        <f t="shared" si="6"/>
        <v>0</v>
      </c>
      <c r="F38" s="46">
        <f t="shared" si="2"/>
        <v>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B10:F10"/>
    <mergeCell ref="B9:F9"/>
    <mergeCell ref="B13:Z13"/>
    <mergeCell ref="I4:S4"/>
    <mergeCell ref="H3:S3"/>
    <mergeCell ref="G7:M7"/>
    <mergeCell ref="N7:T7"/>
    <mergeCell ref="G6:M6"/>
    <mergeCell ref="N6:T6"/>
    <mergeCell ref="G15:Z15"/>
    <mergeCell ref="H2:S2"/>
    <mergeCell ref="U2:V2"/>
    <mergeCell ref="U3:V3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2024-11-21T19:10:31Z</dcterms:modified>
</cp:coreProperties>
</file>