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70F79DBA-EB3A-4A80-A8FD-ECEB61127443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<sst xmlns="http://schemas.openxmlformats.org/spreadsheetml/2006/main" count="97" uniqueCount="49">
  <si>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</si>
  <si>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</si>
  <si>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</si>
  <si>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</si>
  <si>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</si>
  <si>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</si>
  <si>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</si>
  <si>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</si>
  <si>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</si>
  <si>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</si>
  <si>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</si>
  <si>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</si>
  <si>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</si>
  <si>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</si>
  <si>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</si>
  <si>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</si>
  <si>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</si>
  <si>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</si>
  <si>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</si>
  <si>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</si>
  <si>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</si>
  <si>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</si>
  <si>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</si>
  <si>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</si>
  <si>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</si>
  <si>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</si>
  <si>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</si>
  <si>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</si>
  <si>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</si>
  <si>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</si>
  <si>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</si>
  <si>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</si>
  <si>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</si>
  <si>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</si>
  <si>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</si>
  <si>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</si>
  <si>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</si>
  <si>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NUCLEO 4</t>
  </si>
  <si>
    <t>G</t>
  </si>
  <si>
    <t>ANIBAL ARANGO</t>
  </si>
  <si>
    <t>MANUCHAR</t>
  </si>
  <si>
    <t>JULIAN SALDARRIAGA</t>
  </si>
  <si>
    <t>SILICATO DE MAGNESIO</t>
  </si>
  <si>
    <t>CAL DOLOMITA</t>
  </si>
  <si>
    <t>SULFATO DE CALCIO</t>
  </si>
  <si>
    <t>CARBONATO DE CALCIO</t>
  </si>
  <si>
    <t>65-260724</t>
  </si>
  <si>
    <t>KIESERITA</t>
  </si>
  <si>
    <t>HELVECIA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</si>
</sst>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55" dataDxfId="53" headerRowBorderDxfId="54" tableBorderDxfId="52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51">
      <calculatedColumnFormula>B17</calculatedColumnFormula>
    </tableColumn>
    <tableColumn id="25" xr3:uid="{884606E3-7CE2-45C3-97BD-6CF08F8EEA9A}" name="PROVEEDOR" dataDxfId="50">
      <calculatedColumnFormula>C17</calculatedColumnFormula>
    </tableColumn>
    <tableColumn id="24" xr3:uid="{D0ACCF2F-C590-4F61-BFF0-DE4F6960D58D}" name="TIPO" dataDxfId="49">
      <calculatedColumnFormula>D17</calculatedColumnFormula>
    </tableColumn>
    <tableColumn id="2" xr3:uid="{AE74D918-DF3F-499C-8E04-946F506AE009}" name="kg / Ton" dataDxfId="48">
      <calculatedColumnFormula>E17</calculatedColumnFormula>
    </tableColumn>
    <tableColumn id="3" xr3:uid="{9F26846A-CE6E-4CFC-8327-03BEDE1F6186}" name="%/100 kg" dataDxfId="47">
      <calculatedColumnFormula>E35/10</calculatedColumnFormula>
    </tableColumn>
    <tableColumn id="4" xr3:uid="{4ABF355D-C14A-4662-A478-F12F186D7982}" name="C" dataDxfId="46">
      <calculatedColumnFormula>IF(G17="","",G17*$F17/$F$32)</calculatedColumnFormula>
    </tableColumn>
    <tableColumn id="5" xr3:uid="{567CCF88-2D3C-480B-BD19-F5F6D1039C60}" name="N" dataDxfId="45">
      <calculatedColumnFormula>IF(H17="","",SUM(I35:L35))</calculatedColumnFormula>
    </tableColumn>
    <tableColumn id="6" xr3:uid="{CCA2EC60-397B-4D2B-A5A8-FD633E13D6ED}" name="N-NH4" dataDxfId="44">
      <calculatedColumnFormula>IF(I17="","",I17*$F17/$F$32)</calculatedColumnFormula>
    </tableColumn>
    <tableColumn id="7" xr3:uid="{CD8D4980-2855-4825-B850-88627A3B5AD0}" name="N-NO3" dataDxfId="43">
      <calculatedColumnFormula>IF(J17="","",J17*$F17/$F$32)</calculatedColumnFormula>
    </tableColumn>
    <tableColumn id="8" xr3:uid="{56B106F1-A054-438D-8908-EB1DE964A89F}" name="N-org" dataDxfId="42">
      <calculatedColumnFormula>IF(K17="","",K17*$F17/$F$32)</calculatedColumnFormula>
    </tableColumn>
    <tableColumn id="9" xr3:uid="{DDFB1EF0-5869-478D-8CE0-CE1192E57980}" name="N-ur" dataDxfId="41">
      <calculatedColumnFormula>IF(L17="","",L17*$F17/$F$32)</calculatedColumnFormula>
    </tableColumn>
    <tableColumn id="10" xr3:uid="{C2148EBA-5086-445E-9A76-4625EF4D7F0B}" name="P" dataDxfId="40">
      <calculatedColumnFormula>IF(M17="","",M17*$F17/$F$32)</calculatedColumnFormula>
    </tableColumn>
    <tableColumn id="11" xr3:uid="{C6702B72-B92E-47C6-8674-8AA34DC5109A}" name="K" dataDxfId="39">
      <calculatedColumnFormula>IF(N17="","",N17*$F17/$F$32)</calculatedColumnFormula>
    </tableColumn>
    <tableColumn id="12" xr3:uid="{98B147E2-3129-4605-966E-0306061FA52F}" name="CaO" dataDxfId="38">
      <calculatedColumnFormula>IF(O17="","",O17*$F17/$F$32)</calculatedColumnFormula>
    </tableColumn>
    <tableColumn id="13" xr3:uid="{597C000A-F1BD-4EC3-8BB1-208C87CA5BCF}" name="MgO" dataDxfId="37">
      <calculatedColumnFormula>IF(P17="","",P17*$F17/$F$32)</calculatedColumnFormula>
    </tableColumn>
    <tableColumn id="14" xr3:uid="{39144FCD-1386-49C1-AB81-3BDF8B053A75}" name="S" dataDxfId="36">
      <calculatedColumnFormula>IF(Q17="","",Q17*$F17/$F$32)</calculatedColumnFormula>
    </tableColumn>
    <tableColumn id="15" xr3:uid="{77CFDAA6-18DB-4633-85DD-0CACCF938731}" name="B" dataDxfId="35">
      <calculatedColumnFormula>IF(R17="","",R17*$F17/$F$32)</calculatedColumnFormula>
    </tableColumn>
    <tableColumn id="16" xr3:uid="{2F8A72EE-86CB-454F-8E6B-187019CAE218}" name="Co" dataDxfId="34">
      <calculatedColumnFormula>IF(S17="","",S17*$F17/$F$32)</calculatedColumnFormula>
    </tableColumn>
    <tableColumn id="17" xr3:uid="{553C86FB-9920-440B-9C30-69E051FC9BEC}" name="Cu" dataDxfId="33">
      <calculatedColumnFormula>IF(T17="","",T17*$F17/$F$32)</calculatedColumnFormula>
    </tableColumn>
    <tableColumn id="18" xr3:uid="{5F5848B1-83A3-42E2-9121-20D37782F611}" name="Fe" dataDxfId="32">
      <calculatedColumnFormula>IF(U17="","",U17*$F17/$F$32)</calculatedColumnFormula>
    </tableColumn>
    <tableColumn id="19" xr3:uid="{B6224F62-519B-4357-B907-E3BDE03BDDE7}" name="Mn" dataDxfId="31">
      <calculatedColumnFormula>IF(V17="","",V17*$F17/$F$32)</calculatedColumnFormula>
    </tableColumn>
    <tableColumn id="20" xr3:uid="{4EEB8055-52E4-48A3-AD84-778B40D7D184}" name="Mo" dataDxfId="30">
      <calculatedColumnFormula>IF(W17="","",W17*$F17/$F$32)</calculatedColumnFormula>
    </tableColumn>
    <tableColumn id="21" xr3:uid="{84F23676-EF56-45DC-AF5E-04130A9E43E2}" name="SiO2" dataDxfId="29">
      <calculatedColumnFormula>IF(X17="","",X17*$F17/$F$32)</calculatedColumnFormula>
    </tableColumn>
    <tableColumn id="22" xr3:uid="{F5E07346-4680-4E5F-B7BE-274A82BAD724}" name="Zn" dataDxfId="28">
      <calculatedColumnFormula>IF(Y17="","",Y17*$F17/$F$32)</calculatedColumnFormula>
    </tableColumn>
    <tableColumn id="23" xr3:uid="{3AC0C550-5041-472C-8AD1-BD81835AA9E9}" name="Na" dataDxfId="27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G7" sqref="G7:M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35</v>
      </c>
      <c r="H6" s="81"/>
      <c r="I6" s="81"/>
      <c r="J6" s="81"/>
      <c r="K6" s="81"/>
      <c r="L6" s="81"/>
      <c r="M6" s="82"/>
      <c r="N6" s="80" t="s">
        <v>36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37</v>
      </c>
      <c r="H7" s="79"/>
      <c r="I7" s="79"/>
      <c r="J7" s="79"/>
      <c r="K7" s="79"/>
      <c r="L7" s="79"/>
      <c r="M7" s="79"/>
      <c r="N7" s="63" t="s">
        <v>46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44</v>
      </c>
      <c r="C17" s="44" t="s">
        <v>39</v>
      </c>
      <c r="D17" s="44"/>
      <c r="E17" s="46">
        <v>150</v>
      </c>
      <c r="F17" s="27">
        <f>E17/10</f>
        <v>15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47</v>
      </c>
      <c r="C18" s="44" t="s">
        <v>40</v>
      </c>
      <c r="D18" s="44" t="s">
        <v>9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34</v>
      </c>
      <c r="D19" s="44" t="s">
        <v>38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41</v>
      </c>
      <c r="D20" s="44" t="s">
        <v>38</v>
      </c>
      <c r="E20" s="46">
        <v>400</v>
      </c>
      <c r="F20" s="27">
        <f t="shared" si="1"/>
        <v>40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45</v>
      </c>
      <c r="C21" s="44" t="s">
        <v>48</v>
      </c>
      <c r="D21" s="44"/>
      <c r="E21" s="46">
        <v>250</v>
      </c>
      <c r="F21" s="27">
        <f t="shared" si="1"/>
        <v>25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150</v>
      </c>
      <c r="F35" s="62">
        <f t="shared" ref="F35:F40" si="2">E35/10</f>
        <v>15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CAL DOLOMITA</v>
      </c>
      <c r="C37" s="44" t="str">
        <f t="shared" si="7"/>
        <v>BM</v>
      </c>
      <c r="D37" s="44" t="str">
        <f t="shared" si="7"/>
        <v>G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 t="str">
        <f t="shared" si="7"/>
        <v>G</v>
      </c>
      <c r="E38" s="46">
        <f t="shared" si="6"/>
        <v>400</v>
      </c>
      <c r="F38" s="46">
        <f t="shared" si="2"/>
        <v>40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CARBONATO DE CALCIO</v>
      </c>
      <c r="C39" s="44" t="str">
        <f t="shared" si="7"/>
        <v>HELVECIA</v>
      </c>
      <c r="D39" s="44">
        <f t="shared" si="7"/>
        <v>0</v>
      </c>
      <c r="E39" s="46">
        <f t="shared" si="6"/>
        <v>250</v>
      </c>
      <c r="F39" s="46">
        <f t="shared" si="2"/>
        <v>25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6:M6"/>
    <mergeCell ref="N6:T6"/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</mergeCells>
  <conditionalFormatting sqref="G36:Z40">
    <cfRule type="cellIs" dxfId="26" priority="37" operator="equal">
      <formula>0</formula>
    </cfRule>
    <cfRule type="containsBlanks" dxfId="25" priority="38">
      <formula>LEN(TRIM(G36))=0</formula>
    </cfRule>
  </conditionalFormatting>
  <conditionalFormatting sqref="G36:Z40">
    <cfRule type="cellIs" dxfId="24" priority="30" operator="equal">
      <formula>0</formula>
    </cfRule>
    <cfRule type="containsBlanks" dxfId="23" priority="31">
      <formula>LEN(TRIM(G36))=0</formula>
    </cfRule>
  </conditionalFormatting>
  <conditionalFormatting sqref="G36:Z40">
    <cfRule type="notContainsBlanks" dxfId="22" priority="29">
      <formula>LEN(TRIM(G36))&gt;0</formula>
    </cfRule>
  </conditionalFormatting>
  <conditionalFormatting sqref="G35">
    <cfRule type="cellIs" dxfId="21" priority="27" operator="equal">
      <formula>0</formula>
    </cfRule>
    <cfRule type="containsBlanks" dxfId="20" priority="28">
      <formula>LEN(TRIM(G35))=0</formula>
    </cfRule>
  </conditionalFormatting>
  <conditionalFormatting sqref="G35">
    <cfRule type="notContainsBlanks" dxfId="19" priority="26">
      <formula>LEN(TRIM(G35))&gt;0</formula>
    </cfRule>
  </conditionalFormatting>
  <conditionalFormatting sqref="H35">
    <cfRule type="cellIs" dxfId="18" priority="24" operator="equal">
      <formula>0</formula>
    </cfRule>
    <cfRule type="containsBlanks" dxfId="17" priority="25">
      <formula>LEN(TRIM(H35))=0</formula>
    </cfRule>
  </conditionalFormatting>
  <conditionalFormatting sqref="H35">
    <cfRule type="notContainsBlanks" dxfId="16" priority="23">
      <formula>LEN(TRIM(H35))&gt;0</formula>
    </cfRule>
  </conditionalFormatting>
  <conditionalFormatting sqref="I35:Z35">
    <cfRule type="cellIs" dxfId="15" priority="21" operator="equal">
      <formula>0</formula>
    </cfRule>
    <cfRule type="containsBlanks" dxfId="14" priority="22">
      <formula>LEN(TRIM(I35))=0</formula>
    </cfRule>
  </conditionalFormatting>
  <conditionalFormatting sqref="I35:Z35">
    <cfRule type="notContainsBlanks" dxfId="13" priority="20">
      <formula>LEN(TRIM(I35))&gt;0</formula>
    </cfRule>
  </conditionalFormatting>
  <conditionalFormatting sqref="G41:Z49">
    <cfRule type="cellIs" dxfId="12" priority="12" operator="equal">
      <formula>0</formula>
    </cfRule>
    <cfRule type="containsBlanks" dxfId="11" priority="13">
      <formula>LEN(TRIM(G41))=0</formula>
    </cfRule>
  </conditionalFormatting>
  <conditionalFormatting sqref="G41:Z49">
    <cfRule type="cellIs" dxfId="10" priority="10" operator="equal">
      <formula>0</formula>
    </cfRule>
    <cfRule type="containsBlanks" dxfId="9" priority="11">
      <formula>LEN(TRIM(G41))=0</formula>
    </cfRule>
  </conditionalFormatting>
  <conditionalFormatting sqref="G41:Z49">
    <cfRule type="notContainsBlanks" dxfId="8" priority="9">
      <formula>LEN(TRIM(G41))&gt;0</formula>
    </cfRule>
  </conditionalFormatting>
  <conditionalFormatting sqref="B35:F49">
    <cfRule type="cellIs" dxfId="7" priority="8" operator="equal">
      <formula>0</formula>
    </cfRule>
  </conditionalFormatting>
  <conditionalFormatting sqref="G9:Z10">
    <cfRule type="cellIs" dxfId="6" priority="7" operator="equal">
      <formula>0</formula>
    </cfRule>
  </conditionalFormatting>
  <conditionalFormatting sqref="C35:C49">
    <cfRule type="cellIs" dxfId="5" priority="6" operator="equal">
      <formula>0</formula>
    </cfRule>
  </conditionalFormatting>
  <conditionalFormatting sqref="D35:D49">
    <cfRule type="cellIs" dxfId="4" priority="5" operator="equal">
      <formula>0</formula>
    </cfRule>
  </conditionalFormatting>
  <conditionalFormatting sqref="B17:F31">
    <cfRule type="cellIs" dxfId="3" priority="4" operator="equal">
      <formula>0</formula>
    </cfRule>
  </conditionalFormatting>
  <conditionalFormatting sqref="C17:C31">
    <cfRule type="cellIs" dxfId="2" priority="3" operator="equal">
      <formula>0</formula>
    </cfRule>
  </conditionalFormatting>
  <conditionalFormatting sqref="D17:D31">
    <cfRule type="cellIs" dxfId="1" priority="2" operator="equal">
      <formula>0</formula>
    </cfRule>
  </conditionalFormatting>
  <conditionalFormatting sqref="G16:Z31">
    <cfRule type="containsBlanks" dxfId="0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2024-11-13T13:26:16Z</dcterms:modified>
</cp:coreProperties>
</file>