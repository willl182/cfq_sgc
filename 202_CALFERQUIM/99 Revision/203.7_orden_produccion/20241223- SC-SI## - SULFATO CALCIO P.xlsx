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9DCF85B-063C-4D18-88EE-0AD345661963}" xr6:coauthVersionLast="47" xr6:coauthVersionMax="47" xr10:uidLastSave="{00000000-0000-0000-0000-000000000000}"/>
  <bookViews>
    <workbookView xWindow="4980" yWindow="409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<sst xmlns="http://schemas.openxmlformats.org/spreadsheetml/2006/main" count="92" uniqueCount="42">
  <si>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</si>
  <si>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</si>
  <si>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</si>
  <si>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</si>
  <si>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</si>
  <si>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</si>
  <si>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</si>
  <si>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</si>
  <si>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</si>
  <si>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</si>
  <si>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</si>
  <si>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</si>
  <si>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</si>
  <si>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</si>
  <si>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</si>
  <si>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</si>
  <si>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</si>
  <si>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</si>
  <si>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</si>
  <si>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</si>
  <si>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</si>
  <si>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</si>
  <si>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</si>
  <si>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</si>
  <si>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</si>
  <si>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</si>
  <si>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</si>
  <si>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</si>
  <si>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</si>
  <si>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</si>
  <si>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</si>
  <si>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</si>
  <si>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</si>
  <si>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</si>
  <si>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</si>
  <si>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</si>
  <si>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SULFATO DE CALCIO</t>
  </si>
  <si>
    <t>ANIBAL ARANGO</t>
  </si>
  <si>
    <t>SULFATO DE CALCIO P</t>
  </si>
  <si>
    <t>KIESERITA</t>
  </si>
  <si>
    <t>CARBONATO DE CALCIO</t>
  </si>
  <si>
    <t>CAOLIN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</si>
</sst>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9" fontId="0" fillId="2" borderId="0" xfId="0" applyNumberFormat="1" applyFill="1" applyBorder="1"/>
    <xf numFmtId="10" fontId="0" fillId="2" borderId="0" xfId="0" applyNumberFormat="1" applyFill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N1" zoomScale="85" zoomScaleNormal="85" workbookViewId="0">
      <selection activeCell="P21" sqref="P21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38</v>
      </c>
      <c r="H7" s="79"/>
      <c r="I7" s="79"/>
      <c r="J7" s="79"/>
      <c r="K7" s="79"/>
      <c r="L7" s="79"/>
      <c r="M7" s="79"/>
      <c r="N7" s="63">
        <v>141201224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0.27825</v>
      </c>
      <c r="P10" s="32">
        <f t="shared" si="0"/>
        <v>1.26E-2</v>
      </c>
      <c r="Q10" s="32">
        <f t="shared" si="0"/>
        <v>0.127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2.6000000000000002E-2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 t="s">
        <v>9</v>
      </c>
      <c r="E17" s="46">
        <v>900</v>
      </c>
      <c r="F17" s="27">
        <f>E17/10</f>
        <v>90</v>
      </c>
      <c r="G17" s="56"/>
      <c r="H17" s="57"/>
      <c r="I17" s="57"/>
      <c r="J17" s="57"/>
      <c r="K17" s="57"/>
      <c r="L17" s="57"/>
      <c r="M17" s="57"/>
      <c r="N17" s="57"/>
      <c r="O17" s="83">
        <v>0.26</v>
      </c>
      <c r="P17" s="57"/>
      <c r="Q17" s="83">
        <v>0.13</v>
      </c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/>
      <c r="D18" s="44" t="s">
        <v>9</v>
      </c>
      <c r="E18" s="46">
        <v>50</v>
      </c>
      <c r="F18" s="27">
        <f t="shared" ref="F18:F31" si="1">E18/10</f>
        <v>5</v>
      </c>
      <c r="G18" s="56"/>
      <c r="H18" s="57"/>
      <c r="I18" s="57"/>
      <c r="J18" s="57"/>
      <c r="K18" s="57"/>
      <c r="L18" s="57"/>
      <c r="M18" s="57"/>
      <c r="N18" s="57"/>
      <c r="O18" s="57"/>
      <c r="P18" s="83">
        <v>0.25</v>
      </c>
      <c r="Q18" s="83">
        <v>0.2</v>
      </c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40</v>
      </c>
      <c r="C19" s="44"/>
      <c r="D19" s="44" t="s">
        <v>9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83">
        <v>0.44</v>
      </c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41</v>
      </c>
      <c r="C20" s="44"/>
      <c r="D20" s="44" t="s">
        <v>9</v>
      </c>
      <c r="E20" s="46">
        <v>50</v>
      </c>
      <c r="F20" s="27">
        <f t="shared" si="1"/>
        <v>5</v>
      </c>
      <c r="G20" s="56"/>
      <c r="H20" s="57"/>
      <c r="I20" s="57"/>
      <c r="J20" s="57"/>
      <c r="K20" s="57"/>
      <c r="L20" s="57"/>
      <c r="M20" s="57"/>
      <c r="N20" s="57"/>
      <c r="O20" s="84">
        <v>5.0000000000000001E-3</v>
      </c>
      <c r="P20" s="84">
        <v>2E-3</v>
      </c>
      <c r="Q20" s="57"/>
      <c r="R20" s="57"/>
      <c r="S20" s="57"/>
      <c r="T20" s="57"/>
      <c r="U20" s="57"/>
      <c r="V20" s="57"/>
      <c r="W20" s="57"/>
      <c r="X20" s="83">
        <v>0.52</v>
      </c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 t="str">
        <f>D17</f>
        <v>P</v>
      </c>
      <c r="E35" s="46">
        <f>E17</f>
        <v>900</v>
      </c>
      <c r="F35" s="62">
        <f t="shared" ref="F35:F40" si="2">E35/10</f>
        <v>90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>
        <f t="shared" si="5"/>
        <v>0.23400000000000001</v>
      </c>
      <c r="P35" s="42" t="str">
        <f t="shared" si="5"/>
        <v/>
      </c>
      <c r="Q35" s="42">
        <f t="shared" si="5"/>
        <v>0.11700000000000001</v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>
        <f t="shared" ref="C36:D49" si="7">C18</f>
        <v>0</v>
      </c>
      <c r="D36" s="44" t="str">
        <f t="shared" si="7"/>
        <v>P</v>
      </c>
      <c r="E36" s="46">
        <f t="shared" si="6"/>
        <v>50</v>
      </c>
      <c r="F36" s="46">
        <f t="shared" si="2"/>
        <v>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>
        <f t="shared" si="8"/>
        <v>1.2500000000000001E-2</v>
      </c>
      <c r="Q36" s="3">
        <f t="shared" si="8"/>
        <v>0.01</v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CARBONATO DE CALCIO</v>
      </c>
      <c r="C37" s="44">
        <f t="shared" si="7"/>
        <v>0</v>
      </c>
      <c r="D37" s="44" t="str">
        <f t="shared" si="7"/>
        <v>P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>
        <f t="shared" si="9"/>
        <v>4.4000000000000004E-2</v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CAOLIN</v>
      </c>
      <c r="C38" s="44">
        <f t="shared" si="7"/>
        <v>0</v>
      </c>
      <c r="D38" s="44" t="str">
        <f t="shared" si="7"/>
        <v>P</v>
      </c>
      <c r="E38" s="46">
        <f t="shared" si="6"/>
        <v>50</v>
      </c>
      <c r="F38" s="46">
        <f t="shared" si="2"/>
        <v>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>
        <f t="shared" si="10"/>
        <v>2.5000000000000001E-4</v>
      </c>
      <c r="P38" s="3">
        <f t="shared" si="10"/>
        <v>1E-4</v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>
        <f t="shared" si="10"/>
        <v>2.6000000000000002E-2</v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2024-12-23T19:09:45Z</dcterms:modified>
</cp:coreProperties>
</file>