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59A97D5A-FA03-434D-8BAD-18078623BE3C}" xr6:coauthVersionLast="47" xr6:coauthVersionMax="47" xr10:uidLastSave="{00000000-0000-0000-0000-000000000000}"/>
  <bookViews>
    <workbookView xWindow="-120" yWindow="-120" windowWidth="29040" windowHeight="16440" xr2:uid="{38372DD9-1CBA-4685-8962-5931EF38E627}"/>
  </bookViews>
  <sheets>
    <sheet name="Base" sheetId="1" r:id="rId1"/>
  </sheets>
  <externalReferences>
    <externalReference r:id="rId2"/>
    <externalReference r:id="rId3"/>
  </externalReferences>
  <definedNames>
    <definedName name="Fertibalance1">#REF!</definedName>
    <definedName name="FertibalanceDefinitivo3">#REF!</definedName>
    <definedName name="fertibance4">#REF!</definedName>
    <definedName name="jghgh">#REF!</definedName>
    <definedName name="LProov">_xlfn._xlws.FILTER([1]LISTADO!XFB:XFB, [1]LISTADO!XEZ:XEZ=[2]formulador!XFC2, "")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5" i="1"/>
  <c r="G25" i="1"/>
  <c r="N24" i="1"/>
  <c r="M24" i="1"/>
  <c r="N23" i="1"/>
  <c r="M23" i="1"/>
  <c r="I23" i="1"/>
  <c r="N22" i="1"/>
  <c r="M22" i="1"/>
  <c r="I22" i="1"/>
  <c r="N21" i="1"/>
  <c r="M21" i="1"/>
  <c r="I21" i="1"/>
  <c r="N20" i="1"/>
  <c r="M20" i="1"/>
  <c r="I20" i="1"/>
  <c r="N19" i="1"/>
  <c r="M19" i="1"/>
  <c r="I19" i="1"/>
  <c r="N18" i="1"/>
  <c r="M18" i="1"/>
  <c r="I18" i="1"/>
  <c r="N17" i="1"/>
  <c r="M17" i="1"/>
  <c r="I17" i="1"/>
  <c r="N16" i="1"/>
  <c r="M16" i="1"/>
  <c r="I16" i="1"/>
  <c r="N15" i="1"/>
  <c r="M15" i="1"/>
  <c r="I15" i="1"/>
  <c r="U12" i="1"/>
  <c r="T12" i="1"/>
  <c r="C10" i="1"/>
  <c r="O9" i="1"/>
  <c r="O8" i="1"/>
  <c r="T7" i="1"/>
  <c r="O7" i="1"/>
  <c r="C6" i="1"/>
  <c r="O6" i="1" s="1"/>
  <c r="O5" i="1"/>
</calcChain>
</file>

<file path=xl/sharedStrings.xml><?xml version="1.0" encoding="utf-8"?>
<sst xmlns="http://schemas.openxmlformats.org/spreadsheetml/2006/main" count="66" uniqueCount="53">
  <si>
    <r>
      <rPr>
        <b/>
        <sz val="16"/>
        <color theme="1"/>
        <rFont val="Taffy"/>
      </rPr>
      <t>ORDEN DE PRODUCCIÓN</t>
    </r>
    <r>
      <rPr>
        <b/>
        <sz val="10"/>
        <color theme="1"/>
        <rFont val="Taffy"/>
      </rPr>
      <t xml:space="preserve">
SISTEMA DE GESTIÓN INTEGRAL</t>
    </r>
  </si>
  <si>
    <t>SC</t>
  </si>
  <si>
    <t>ORDEN DE PRODUCCIÓN
SISTEMA DE GESTIÓN INTEGRAL</t>
  </si>
  <si>
    <t>SS</t>
  </si>
  <si>
    <t>CÓDIGO: RC-SI01</t>
  </si>
  <si>
    <t>VERSIÓN: 1</t>
  </si>
  <si>
    <t>ITEM:</t>
  </si>
  <si>
    <t>ORDEN PRODUCCION</t>
  </si>
  <si>
    <t>PRODUCTO:</t>
  </si>
  <si>
    <t>LISTA 0</t>
  </si>
  <si>
    <t>OP0373</t>
  </si>
  <si>
    <t>LISTA</t>
  </si>
  <si>
    <t>INICIO DE PRODUCCION:</t>
  </si>
  <si>
    <t>LOTE No:</t>
  </si>
  <si>
    <t>PORCENTAJE DE RENDIMIENTO:</t>
  </si>
  <si>
    <t>CANTIDAD A PRODUCIR:</t>
  </si>
  <si>
    <t>FIN DE PRODUCCION:</t>
  </si>
  <si>
    <t>FECHA</t>
  </si>
  <si>
    <t>19-08-2025</t>
  </si>
  <si>
    <t>ITEM</t>
  </si>
  <si>
    <t>PROVEEDOR - MATERIA PRIMA</t>
  </si>
  <si>
    <t>CANT. x TM</t>
  </si>
  <si>
    <t>CANT. PEDIDO</t>
  </si>
  <si>
    <t>UM</t>
  </si>
  <si>
    <t>LOTE 1</t>
  </si>
  <si>
    <t>LOTE 2</t>
  </si>
  <si>
    <t>LOTE 3</t>
  </si>
  <si>
    <t>LOTE 4</t>
  </si>
  <si>
    <t>CIAMSA - UREA - G</t>
  </si>
  <si>
    <t>PRECISAGRO - SAM - G</t>
  </si>
  <si>
    <t>CALFERQUIM - NUCLEO 4 - G</t>
  </si>
  <si>
    <t>EVOAGRO - MAP - G</t>
  </si>
  <si>
    <t>CALFERQUIM - BORO G - G</t>
  </si>
  <si>
    <t>NUTRICION PLANTAS - KCL - G</t>
  </si>
  <si>
    <t>CALFERQUIM - CALFERZINC P - G</t>
  </si>
  <si>
    <t>CALFERQUIM - RAIFOS 20 - G</t>
  </si>
  <si>
    <t>CALFERQUIM - CARBONITRO - L</t>
  </si>
  <si>
    <t>PROVEEDOR</t>
  </si>
  <si>
    <t>EMPAQUE</t>
  </si>
  <si>
    <t>PRESENTACION KG</t>
  </si>
  <si>
    <t>CANTIDAD TOTAL</t>
  </si>
  <si>
    <t>FLORINSUMOS</t>
  </si>
  <si>
    <t>CALFFERTEC</t>
  </si>
  <si>
    <t xml:space="preserve">PLANTA </t>
  </si>
  <si>
    <t xml:space="preserve">TURNO </t>
  </si>
  <si>
    <t>CERTIFICACIÓN</t>
  </si>
  <si>
    <t>Yo                                                                               , identificado con cédula de ciudadanía N°                          ,</t>
  </si>
  <si>
    <r>
      <t>Tarjeta profesional N°</t>
    </r>
    <r>
      <rPr>
        <b/>
        <u/>
        <sz val="10"/>
        <color theme="1"/>
        <rFont val="Taffy"/>
      </rPr>
      <t xml:space="preserve">             </t>
    </r>
    <r>
      <rPr>
        <sz val="10"/>
        <color theme="1"/>
        <rFont val="Taffy"/>
      </rPr>
      <t xml:space="preserve"> Expedida por el                                                                                                             </t>
    </r>
    <r>
      <rPr>
        <b/>
        <sz val="10"/>
        <color theme="1"/>
        <rFont val="Taffy"/>
      </rPr>
      <t>,</t>
    </r>
  </si>
  <si>
    <t xml:space="preserve">actuando como                                   , certifico la formulación del presente producto, </t>
  </si>
  <si>
    <r>
      <t xml:space="preserve">cumple con los parámetros registrados ante el </t>
    </r>
    <r>
      <rPr>
        <b/>
        <u/>
        <sz val="10"/>
        <color theme="1"/>
        <rFont val="Taffy"/>
      </rPr>
      <t>ICA</t>
    </r>
    <r>
      <rPr>
        <sz val="10"/>
        <color theme="1"/>
        <rFont val="Taffy"/>
      </rPr>
      <t>.</t>
    </r>
  </si>
  <si>
    <t>DIRECTOR TECNICO</t>
  </si>
  <si>
    <t>JEFE DE BODEGA</t>
  </si>
  <si>
    <t>JEFE DE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</si>
</sst>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Taffy"/>
    </font>
    <font>
      <b/>
      <sz val="10"/>
      <color theme="1"/>
      <name val="Taffy"/>
    </font>
    <font>
      <b/>
      <sz val="16"/>
      <color theme="1"/>
      <name val="Taffy"/>
    </font>
    <font>
      <sz val="11"/>
      <name val="Taffy"/>
    </font>
    <font>
      <sz val="11"/>
      <color theme="1"/>
      <name val="Taffy"/>
    </font>
    <font>
      <b/>
      <sz val="10"/>
      <color rgb="FFFEF2CB"/>
      <name val="Taffy"/>
    </font>
    <font>
      <b/>
      <sz val="24"/>
      <color theme="1"/>
      <name val="Showcard Gothic"/>
      <family val="5"/>
    </font>
    <font>
      <sz val="11"/>
      <color theme="1"/>
      <name val="Showcard Gothic"/>
      <family val="5"/>
    </font>
    <font>
      <sz val="11"/>
      <name val="Showcard Gothic"/>
      <family val="5"/>
    </font>
    <font>
      <b/>
      <u/>
      <sz val="10"/>
      <color theme="1"/>
      <name val="Taffy"/>
    </font>
    <font>
      <b/>
      <sz val="9"/>
      <color theme="1"/>
      <name val="Taffy"/>
    </font>
    <font>
      <b/>
      <sz val="11"/>
      <color theme="1"/>
      <name val="Taffy"/>
    </font>
    <font>
      <b/>
      <sz val="11"/>
      <name val="Taffy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227ACB"/>
        <bgColor rgb="FF227AC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C5C2C2"/>
        <bgColor rgb="FFC5C2C2"/>
      </patternFill>
    </fill>
    <fill>
      <patternFill patternType="solid">
        <fgColor rgb="FFECECEC"/>
        <bgColor rgb="FFECECEC"/>
      </patternFill>
    </fill>
    <fill>
      <patternFill patternType="solid">
        <fgColor rgb="FFFFE598"/>
        <bgColor rgb="FFFFE598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rgb="FF000000"/>
      </bottom>
      <diagonal/>
    </border>
    <border>
      <left style="thick">
        <color rgb="FF1F3864"/>
      </left>
      <right/>
      <top style="thick">
        <color rgb="FF1F3864"/>
      </top>
      <bottom/>
      <diagonal/>
    </border>
    <border>
      <left/>
      <right/>
      <top style="thick">
        <color rgb="FF1F3864"/>
      </top>
      <bottom/>
      <diagonal/>
    </border>
    <border>
      <left/>
      <right style="thick">
        <color rgb="FF1F3864"/>
      </right>
      <top style="thick">
        <color rgb="FF1F3864"/>
      </top>
      <bottom/>
      <diagonal/>
    </border>
    <border>
      <left/>
      <right style="thin">
        <color indexed="64"/>
      </right>
      <top style="thick">
        <color rgb="FF1F3864"/>
      </top>
      <bottom/>
      <diagonal/>
    </border>
    <border>
      <left style="thick">
        <color rgb="FF1F3864"/>
      </left>
      <right/>
      <top/>
      <bottom/>
      <diagonal/>
    </border>
    <border>
      <left/>
      <right style="thick">
        <color rgb="FF1F3864"/>
      </right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ck">
        <color rgb="FF1F3864"/>
      </left>
      <right/>
      <top/>
      <bottom style="thick">
        <color rgb="FF1F3864"/>
      </bottom>
      <diagonal/>
    </border>
    <border>
      <left/>
      <right/>
      <top/>
      <bottom style="thick">
        <color rgb="FF1F3864"/>
      </bottom>
      <diagonal/>
    </border>
    <border>
      <left/>
      <right style="thick">
        <color rgb="FF1F3864"/>
      </right>
      <top/>
      <bottom style="thick">
        <color rgb="FF1F3864"/>
      </bottom>
      <diagonal/>
    </border>
    <border>
      <left/>
      <right style="thin">
        <color indexed="64"/>
      </right>
      <top/>
      <bottom style="thick">
        <color rgb="FF1F3864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horizontal="left" vertical="top"/>
    </xf>
    <xf numFmtId="0" fontId="2" fillId="0" borderId="3" xfId="0" applyFont="1" applyBorder="1"/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/>
    <xf numFmtId="0" fontId="5" fillId="0" borderId="3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5" xfId="0" applyFont="1" applyBorder="1"/>
    <xf numFmtId="0" fontId="2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9" xfId="0" applyFont="1" applyBorder="1"/>
    <xf numFmtId="0" fontId="2" fillId="0" borderId="0" xfId="0" applyFont="1" applyAlignment="1">
      <alignment horizontal="left" vertical="top"/>
    </xf>
    <xf numFmtId="0" fontId="2" fillId="0" borderId="10" xfId="0" applyFont="1" applyBorder="1"/>
    <xf numFmtId="0" fontId="6" fillId="0" borderId="0" xfId="0" applyFont="1"/>
    <xf numFmtId="0" fontId="5" fillId="0" borderId="10" xfId="0" applyFont="1" applyBorder="1"/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18" xfId="0" applyFont="1" applyBorder="1" applyAlignment="1">
      <alignment horizontal="left" vertical="top"/>
    </xf>
    <xf numFmtId="0" fontId="2" fillId="0" borderId="19" xfId="0" applyFont="1" applyBorder="1"/>
    <xf numFmtId="0" fontId="3" fillId="0" borderId="20" xfId="0" applyFont="1" applyBorder="1" applyAlignment="1">
      <alignment horizontal="center" vertical="center"/>
    </xf>
    <xf numFmtId="0" fontId="5" fillId="0" borderId="21" xfId="0" applyFont="1" applyBorder="1"/>
    <xf numFmtId="0" fontId="3" fillId="0" borderId="21" xfId="0" applyFont="1" applyBorder="1" applyAlignment="1">
      <alignment horizontal="center" vertical="center" wrapText="1"/>
    </xf>
    <xf numFmtId="0" fontId="2" fillId="0" borderId="22" xfId="0" applyFont="1" applyBorder="1"/>
    <xf numFmtId="0" fontId="2" fillId="0" borderId="23" xfId="0" applyFont="1" applyBorder="1"/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5" fillId="0" borderId="25" xfId="0" applyFont="1" applyBorder="1"/>
    <xf numFmtId="0" fontId="6" fillId="0" borderId="25" xfId="0" applyFont="1" applyBorder="1"/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2" fillId="0" borderId="27" xfId="0" applyFont="1" applyBorder="1"/>
    <xf numFmtId="0" fontId="2" fillId="4" borderId="0" xfId="0" applyFont="1" applyFill="1" applyAlignment="1">
      <alignment horizontal="left"/>
    </xf>
    <xf numFmtId="0" fontId="5" fillId="0" borderId="0" xfId="0" applyFont="1"/>
    <xf numFmtId="0" fontId="2" fillId="5" borderId="28" xfId="0" applyFont="1" applyFill="1" applyBorder="1" applyAlignment="1">
      <alignment horizontal="center"/>
    </xf>
    <xf numFmtId="0" fontId="2" fillId="5" borderId="0" xfId="0" applyFont="1" applyFill="1"/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/>
    </xf>
    <xf numFmtId="0" fontId="7" fillId="6" borderId="32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  <xf numFmtId="0" fontId="7" fillId="6" borderId="27" xfId="0" applyFont="1" applyFill="1" applyBorder="1" applyAlignment="1">
      <alignment horizontal="center" vertical="center"/>
    </xf>
    <xf numFmtId="14" fontId="2" fillId="5" borderId="35" xfId="0" applyNumberFormat="1" applyFont="1" applyFill="1" applyBorder="1" applyAlignment="1">
      <alignment horizontal="center"/>
    </xf>
    <xf numFmtId="0" fontId="5" fillId="0" borderId="35" xfId="0" applyFont="1" applyBorder="1"/>
    <xf numFmtId="14" fontId="2" fillId="5" borderId="0" xfId="0" applyNumberFormat="1" applyFont="1" applyFill="1" applyAlignment="1">
      <alignment horizontal="center"/>
    </xf>
    <xf numFmtId="0" fontId="8" fillId="0" borderId="33" xfId="0" applyFont="1" applyBorder="1" applyAlignment="1">
      <alignment horizontal="center" vertical="center"/>
    </xf>
    <xf numFmtId="0" fontId="9" fillId="0" borderId="0" xfId="0" applyFont="1"/>
    <xf numFmtId="0" fontId="10" fillId="0" borderId="34" xfId="0" applyFont="1" applyBorder="1"/>
    <xf numFmtId="14" fontId="2" fillId="5" borderId="28" xfId="0" applyNumberFormat="1" applyFont="1" applyFill="1" applyBorder="1" applyAlignment="1">
      <alignment horizontal="center"/>
    </xf>
    <xf numFmtId="0" fontId="10" fillId="0" borderId="27" xfId="0" applyFont="1" applyBorder="1"/>
    <xf numFmtId="18" fontId="2" fillId="5" borderId="35" xfId="0" applyNumberFormat="1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0" fillId="0" borderId="33" xfId="0" applyFont="1" applyBorder="1"/>
    <xf numFmtId="0" fontId="5" fillId="0" borderId="28" xfId="0" applyFont="1" applyBorder="1"/>
    <xf numFmtId="0" fontId="10" fillId="0" borderId="36" xfId="0" applyFont="1" applyBorder="1"/>
    <xf numFmtId="0" fontId="10" fillId="0" borderId="37" xfId="0" applyFont="1" applyBorder="1"/>
    <xf numFmtId="0" fontId="10" fillId="0" borderId="38" xfId="0" applyFont="1" applyBorder="1"/>
    <xf numFmtId="0" fontId="10" fillId="0" borderId="39" xfId="0" applyFont="1" applyBorder="1"/>
    <xf numFmtId="0" fontId="3" fillId="5" borderId="40" xfId="0" applyFont="1" applyFill="1" applyBorder="1"/>
    <xf numFmtId="49" fontId="3" fillId="0" borderId="41" xfId="0" applyNumberFormat="1" applyFont="1" applyBorder="1" applyAlignment="1">
      <alignment horizontal="center"/>
    </xf>
    <xf numFmtId="49" fontId="5" fillId="0" borderId="42" xfId="0" applyNumberFormat="1" applyFont="1" applyBorder="1"/>
    <xf numFmtId="0" fontId="2" fillId="0" borderId="0" xfId="0" applyFont="1" applyAlignment="1">
      <alignment horizontal="left"/>
    </xf>
    <xf numFmtId="0" fontId="3" fillId="7" borderId="20" xfId="0" applyFont="1" applyFill="1" applyBorder="1" applyAlignment="1">
      <alignment horizontal="left"/>
    </xf>
    <xf numFmtId="0" fontId="3" fillId="7" borderId="20" xfId="0" applyFont="1" applyFill="1" applyBorder="1" applyAlignment="1">
      <alignment horizontal="left"/>
    </xf>
    <xf numFmtId="0" fontId="3" fillId="7" borderId="21" xfId="0" applyFont="1" applyFill="1" applyBorder="1" applyAlignment="1">
      <alignment horizontal="left"/>
    </xf>
    <xf numFmtId="0" fontId="3" fillId="7" borderId="22" xfId="0" applyFont="1" applyFill="1" applyBorder="1" applyAlignment="1">
      <alignment horizontal="left"/>
    </xf>
    <xf numFmtId="0" fontId="3" fillId="7" borderId="20" xfId="0" applyFont="1" applyFill="1" applyBorder="1" applyAlignment="1">
      <alignment horizontal="center"/>
    </xf>
    <xf numFmtId="0" fontId="5" fillId="0" borderId="22" xfId="0" applyFont="1" applyBorder="1"/>
    <xf numFmtId="0" fontId="3" fillId="7" borderId="4" xfId="0" applyFont="1" applyFill="1" applyBorder="1" applyAlignment="1">
      <alignment horizontal="center"/>
    </xf>
    <xf numFmtId="0" fontId="3" fillId="7" borderId="43" xfId="0" applyFont="1" applyFill="1" applyBorder="1" applyAlignment="1">
      <alignment horizontal="left"/>
    </xf>
    <xf numFmtId="0" fontId="3" fillId="7" borderId="22" xfId="0" applyFont="1" applyFill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5" xfId="0" applyFont="1" applyBorder="1" applyAlignment="1">
      <alignment horizontal="left"/>
    </xf>
    <xf numFmtId="14" fontId="2" fillId="0" borderId="20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5" fillId="0" borderId="22" xfId="0" applyFont="1" applyBorder="1"/>
    <xf numFmtId="14" fontId="2" fillId="0" borderId="46" xfId="0" applyNumberFormat="1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Alignment="1">
      <alignment horizontal="center"/>
    </xf>
    <xf numFmtId="0" fontId="5" fillId="0" borderId="0" xfId="0" applyFont="1"/>
    <xf numFmtId="164" fontId="2" fillId="0" borderId="0" xfId="0" applyNumberFormat="1" applyFont="1" applyAlignment="1">
      <alignment horizontal="center"/>
    </xf>
    <xf numFmtId="0" fontId="3" fillId="7" borderId="20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vertical="center"/>
    </xf>
    <xf numFmtId="0" fontId="3" fillId="7" borderId="21" xfId="0" applyFont="1" applyFill="1" applyBorder="1" applyAlignment="1">
      <alignment vertical="center"/>
    </xf>
    <xf numFmtId="0" fontId="3" fillId="7" borderId="22" xfId="0" applyFont="1" applyFill="1" applyBorder="1" applyAlignment="1">
      <alignment vertical="center"/>
    </xf>
    <xf numFmtId="0" fontId="3" fillId="7" borderId="20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4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5" fillId="0" borderId="21" xfId="0" applyNumberFormat="1" applyFont="1" applyBorder="1"/>
    <xf numFmtId="49" fontId="5" fillId="0" borderId="22" xfId="0" applyNumberFormat="1" applyFont="1" applyBorder="1"/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8" borderId="0" xfId="0" applyFont="1" applyFill="1" applyAlignment="1">
      <alignment horizontal="left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1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18" xfId="0" applyFont="1" applyBorder="1" applyAlignment="1">
      <alignment horizontal="center" wrapText="1"/>
    </xf>
    <xf numFmtId="0" fontId="5" fillId="0" borderId="18" xfId="0" applyFont="1" applyBorder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3" fillId="0" borderId="0" xfId="0" applyFont="1"/>
    <xf numFmtId="0" fontId="3" fillId="0" borderId="2" xfId="0" applyFont="1" applyBorder="1" applyAlignment="1">
      <alignment horizontal="center"/>
    </xf>
    <xf numFmtId="0" fontId="14" fillId="0" borderId="2" xfId="0" applyFont="1" applyBorder="1"/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28575</xdr:rowOff>
    </xdr:from>
    <xdr:ext cx="1314450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8ED147B2-26EE-4958-AB8A-1F43FDEFAF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28575"/>
          <a:ext cx="1314450" cy="561975"/>
        </a:xfrm>
        <a:prstGeom prst="rect">
          <a:avLst/>
        </a:prstGeom>
        <a:noFill/>
      </xdr:spPr>
    </xdr:pic>
    <xdr:clientData fLocksWithSheet="0"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219075</xdr:colOff>
          <xdr:row>47</xdr:row>
          <xdr:rowOff>95250</xdr:rowOff>
        </xdr:from>
        <xdr:to>
          <xdr:col>4</xdr:col>
          <xdr:colOff>285750</xdr:colOff>
          <xdr:row>49</xdr:row>
          <xdr:rowOff>114300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44B4D55-502F-4551-BAE3-D66C144404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CO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REGISTRO</a:t>
              </a:r>
            </a:p>
          </xdr:txBody>
        </xdr:sp>
        <xdr:clientData fPrintsWithSheet="0"/>
      </xdr:twoCellAnchor>
    </mc:Choice>
    <mc:Fallback/>
  </mc:AlternateContent>
  <xdr:oneCellAnchor>
    <xdr:from>
      <xdr:col>12</xdr:col>
      <xdr:colOff>152400</xdr:colOff>
      <xdr:row>0</xdr:row>
      <xdr:rowOff>28575</xdr:rowOff>
    </xdr:from>
    <xdr:ext cx="1314450" cy="561975"/>
    <xdr:pic>
      <xdr:nvPicPr>
        <xdr:cNvPr id="3" name="image1.png">
          <a:extLst>
            <a:ext uri="{FF2B5EF4-FFF2-40B4-BE49-F238E27FC236}">
              <a16:creationId xmlns:a16="http://schemas.microsoft.com/office/drawing/2014/main" id="{325FDD71-0C23-4A8E-AC99-2F1DC7DEFC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76950" y="28575"/>
          <a:ext cx="1314450" cy="5619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PLANTA\OP\RC-SI01%20Orden%20de%20Producci&#243;n%20V.1.1.xlsm" TargetMode="External"/><Relationship Id="rId1" Type="http://schemas.openxmlformats.org/officeDocument/2006/relationships/externalLinkPath" Target="file:///P:\PLANTA\OP\RC-SI01%20Orden%20de%20Producci&#243;n%20V.1.1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01_calferquim\FORMULADOR_V0.2.xlsm" TargetMode="External"/><Relationship Id="rId1" Type="http://schemas.openxmlformats.org/officeDocument/2006/relationships/externalLinkPath" Target="/201_calferquim/FORMULADOR_V0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c_mp"/>
      <sheetName val="LISTADO"/>
      <sheetName val="Base"/>
      <sheetName val="OP001"/>
      <sheetName val="OP002"/>
      <sheetName val="OP003"/>
      <sheetName val="OP004"/>
      <sheetName val="OP005"/>
      <sheetName val="OP006"/>
      <sheetName val="OP007"/>
      <sheetName val="OP008"/>
      <sheetName val="OP009"/>
      <sheetName val="OP010"/>
      <sheetName val="OP011"/>
      <sheetName val="OP012"/>
      <sheetName val="OP013"/>
      <sheetName val="OP014"/>
      <sheetName val="OP015"/>
      <sheetName val="OP016"/>
      <sheetName val="OP017"/>
      <sheetName val="OP018"/>
      <sheetName val="OP019"/>
      <sheetName val="OP020"/>
      <sheetName val="OP021"/>
      <sheetName val="OP022"/>
      <sheetName val="OP023"/>
      <sheetName val="OP024"/>
      <sheetName val="OP025"/>
      <sheetName val="OP026"/>
      <sheetName val="OP027"/>
      <sheetName val="OP028"/>
      <sheetName val="OP029"/>
      <sheetName val="OP030"/>
      <sheetName val="OP031"/>
      <sheetName val="OP032"/>
      <sheetName val="OP033"/>
      <sheetName val="OP034"/>
      <sheetName val="OP035"/>
      <sheetName val="OP036"/>
      <sheetName val="OP037"/>
      <sheetName val="OP039"/>
      <sheetName val="OP040"/>
      <sheetName val="OP041"/>
      <sheetName val="OP042"/>
      <sheetName val="OP043"/>
      <sheetName val="OP044"/>
      <sheetName val="OP045"/>
      <sheetName val="OP046"/>
      <sheetName val="OP047"/>
      <sheetName val="OP048"/>
      <sheetName val="OP049"/>
      <sheetName val="OP051"/>
      <sheetName val="OP052"/>
      <sheetName val="OP053"/>
      <sheetName val="OP054"/>
      <sheetName val="OP055"/>
      <sheetName val="OP057"/>
      <sheetName val="OP058"/>
      <sheetName val="OP059"/>
      <sheetName val="OP060"/>
      <sheetName val="OP061"/>
      <sheetName val="OP062"/>
      <sheetName val="OP063"/>
      <sheetName val="OP064"/>
      <sheetName val="OP065"/>
      <sheetName val="OP066"/>
      <sheetName val="OP067"/>
      <sheetName val="OP068"/>
      <sheetName val="OP069"/>
      <sheetName val="OP070"/>
      <sheetName val="OP071"/>
      <sheetName val="OP072"/>
      <sheetName val="OP073"/>
      <sheetName val="OP074"/>
      <sheetName val="OP075"/>
      <sheetName val="OP076"/>
      <sheetName val="OP077"/>
      <sheetName val="OP078"/>
      <sheetName val="OP079"/>
      <sheetName val="OP080"/>
      <sheetName val="OP081"/>
      <sheetName val="OP082"/>
      <sheetName val="OP083"/>
      <sheetName val="OP084"/>
      <sheetName val="OP085"/>
      <sheetName val="OP086"/>
      <sheetName val="OP087"/>
      <sheetName val="OP088"/>
      <sheetName val="OP089"/>
      <sheetName val="OP090"/>
      <sheetName val="OP091"/>
      <sheetName val="OP092"/>
      <sheetName val="OP093"/>
      <sheetName val="OP094"/>
      <sheetName val="OP095"/>
      <sheetName val="OP096"/>
      <sheetName val="OP097"/>
      <sheetName val="OP098"/>
      <sheetName val="OP099"/>
      <sheetName val="OP0100"/>
      <sheetName val="OP0101"/>
      <sheetName val="OP0102"/>
      <sheetName val="OP0103"/>
      <sheetName val="OP0104"/>
      <sheetName val="0P0105"/>
      <sheetName val="0P0106"/>
      <sheetName val="OP0107"/>
      <sheetName val="OP0108"/>
      <sheetName val="OP0109"/>
      <sheetName val="OP0110"/>
      <sheetName val="OP0111"/>
      <sheetName val="OP0112"/>
      <sheetName val="OP0113"/>
      <sheetName val="OP0114"/>
      <sheetName val="OP0115"/>
      <sheetName val="OP0116"/>
      <sheetName val="OP0117"/>
      <sheetName val="OP0118"/>
      <sheetName val="OP0119"/>
      <sheetName val="OP0120"/>
      <sheetName val="OP0121"/>
      <sheetName val="OP0122"/>
      <sheetName val="OP0123"/>
      <sheetName val="OP0124"/>
      <sheetName val="OP0125"/>
      <sheetName val="0P0126"/>
      <sheetName val="0P0127"/>
      <sheetName val="0P0128"/>
      <sheetName val="0P0129"/>
      <sheetName val="OP0130"/>
      <sheetName val="OP0131"/>
      <sheetName val="OP0132"/>
      <sheetName val="OP0133"/>
      <sheetName val="OP0134"/>
      <sheetName val="OP0135"/>
      <sheetName val="OP0136"/>
      <sheetName val="OP0137"/>
      <sheetName val="OP0138"/>
      <sheetName val="OP0139"/>
      <sheetName val="OP0140"/>
      <sheetName val="OP0141"/>
      <sheetName val="OP0142"/>
      <sheetName val="OP0143"/>
      <sheetName val="OP0144"/>
      <sheetName val="OP0145 "/>
      <sheetName val="OP0146"/>
      <sheetName val="OP0147"/>
      <sheetName val="OP0148"/>
      <sheetName val="OP0149"/>
      <sheetName val="OP0150"/>
      <sheetName val="OP0151"/>
      <sheetName val="OP0152"/>
      <sheetName val="OP0153"/>
      <sheetName val="OP0154"/>
      <sheetName val="OP0155"/>
      <sheetName val="OP0156"/>
      <sheetName val="OP0157"/>
      <sheetName val="OP0158"/>
      <sheetName val="OP0159"/>
      <sheetName val="OP0160"/>
      <sheetName val="OP0161"/>
      <sheetName val="OP0162"/>
      <sheetName val="OP0163"/>
      <sheetName val="OP0164"/>
      <sheetName val="OP0165"/>
      <sheetName val="OP0166"/>
      <sheetName val="OP0167"/>
      <sheetName val="OP0168"/>
      <sheetName val="OP0169"/>
      <sheetName val="OP0170"/>
      <sheetName val="OP0171"/>
      <sheetName val="OP0172"/>
      <sheetName val="OP0173"/>
      <sheetName val="OP0174"/>
      <sheetName val="OP0175"/>
      <sheetName val="OP0176"/>
      <sheetName val="OP0177"/>
      <sheetName val="OP0178"/>
      <sheetName val="OP0179"/>
      <sheetName val="OP0180"/>
      <sheetName val="OP0181"/>
      <sheetName val="OPO182"/>
      <sheetName val="OP0183"/>
      <sheetName val="OP0184"/>
      <sheetName val="OP0185"/>
      <sheetName val="OP0186"/>
      <sheetName val="OP0187"/>
      <sheetName val="OP0188"/>
      <sheetName val="OP0189"/>
      <sheetName val="OP0190"/>
      <sheetName val="OP0191"/>
      <sheetName val="OP0192"/>
      <sheetName val="OP0193"/>
      <sheetName val="OP0194"/>
      <sheetName val="OP0195"/>
      <sheetName val="OP0196"/>
      <sheetName val="OP0197"/>
      <sheetName val="OP0198"/>
      <sheetName val="OP0199"/>
      <sheetName val="OP0200"/>
      <sheetName val="OP0201"/>
      <sheetName val="OP0202"/>
      <sheetName val="OP0203"/>
      <sheetName val="OP0204"/>
      <sheetName val="OP0205"/>
      <sheetName val="OP0206"/>
      <sheetName val="OP0207"/>
      <sheetName val="OP0208"/>
      <sheetName val="OP0209"/>
      <sheetName val="OP0210"/>
      <sheetName val="OP0211"/>
      <sheetName val="OP0212"/>
      <sheetName val="OP0213"/>
      <sheetName val="OP0214"/>
      <sheetName val="OP0215"/>
      <sheetName val="OP0216"/>
      <sheetName val="OP0217"/>
      <sheetName val="OP0218"/>
      <sheetName val="OP0219"/>
      <sheetName val="OP0220"/>
      <sheetName val="OP0221"/>
      <sheetName val="OP0222"/>
      <sheetName val="OP0223"/>
      <sheetName val="OP0224"/>
      <sheetName val="OP0225"/>
      <sheetName val="OP0226"/>
      <sheetName val="OP0227"/>
      <sheetName val="OP0228"/>
      <sheetName val="OP0229"/>
      <sheetName val="OP0230"/>
      <sheetName val="OP0231"/>
      <sheetName val="OP0232"/>
      <sheetName val="OP0233"/>
      <sheetName val="OP0234"/>
      <sheetName val="OP0235"/>
      <sheetName val="OP0236"/>
      <sheetName val="OP0237"/>
      <sheetName val="OP0238"/>
      <sheetName val="OP0239"/>
      <sheetName val="OP0240"/>
      <sheetName val="OP0241"/>
      <sheetName val="OP0242"/>
      <sheetName val="OP0243"/>
      <sheetName val="OP0244"/>
      <sheetName val="OP0245"/>
      <sheetName val="OP0246"/>
      <sheetName val="OP0247"/>
      <sheetName val="OP0248"/>
      <sheetName val="OP0249"/>
      <sheetName val="OP0250"/>
      <sheetName val="OP0251"/>
      <sheetName val="OP0252"/>
      <sheetName val="OP0253"/>
      <sheetName val="OP0254"/>
      <sheetName val="OP0255"/>
      <sheetName val="OP0256"/>
      <sheetName val="OP0257"/>
      <sheetName val="OP0258"/>
      <sheetName val="OP0259"/>
      <sheetName val="OP0260"/>
      <sheetName val="OP0261"/>
      <sheetName val="OP0262"/>
      <sheetName val="OP0263"/>
      <sheetName val="OP0264"/>
      <sheetName val="OP0265"/>
      <sheetName val="OP0266"/>
      <sheetName val="OP0267"/>
      <sheetName val="OP0268"/>
      <sheetName val="OP0269"/>
      <sheetName val="OP0270"/>
      <sheetName val="OP0271"/>
      <sheetName val="OP0272"/>
      <sheetName val="OP0273"/>
      <sheetName val="OP0274"/>
      <sheetName val="OP0275"/>
      <sheetName val="OP0276"/>
      <sheetName val="OP0277"/>
      <sheetName val="OP0278"/>
      <sheetName val="OP0279"/>
      <sheetName val="OP0280"/>
      <sheetName val="OP0281"/>
      <sheetName val="OP0282"/>
      <sheetName val="OP0283"/>
      <sheetName val="OP0284"/>
      <sheetName val="OP0285"/>
      <sheetName val="OP0286"/>
      <sheetName val="OP0287"/>
      <sheetName val="OP0288"/>
      <sheetName val="OP0289"/>
      <sheetName val="OP0290"/>
      <sheetName val="OP0291"/>
      <sheetName val="OP0292"/>
      <sheetName val="OP0293"/>
      <sheetName val="OP0294"/>
      <sheetName val="OP0295"/>
      <sheetName val="OP0297"/>
      <sheetName val="OP0298"/>
      <sheetName val="OP0299"/>
      <sheetName val="OP0300"/>
      <sheetName val="OP0301"/>
      <sheetName val="OP0302"/>
      <sheetName val="OP0303"/>
      <sheetName val="OP0304"/>
      <sheetName val="OP0305"/>
      <sheetName val="OP0306"/>
      <sheetName val="OP0307"/>
      <sheetName val="OP0308"/>
      <sheetName val="OP0309"/>
      <sheetName val="OP0310"/>
      <sheetName val="OP0311"/>
      <sheetName val="OP0312"/>
      <sheetName val="OP0313"/>
      <sheetName val="OP0314"/>
      <sheetName val="OP0315"/>
      <sheetName val="OP0316"/>
      <sheetName val="OP0317"/>
      <sheetName val="OP0318"/>
      <sheetName val="OP0319"/>
      <sheetName val="OP0320"/>
      <sheetName val="OP0321"/>
      <sheetName val="OP0322"/>
      <sheetName val="OP0323"/>
      <sheetName val="OP0325"/>
      <sheetName val="OP0326"/>
      <sheetName val="OP0327"/>
      <sheetName val="OP0328"/>
      <sheetName val="OP0329"/>
      <sheetName val="OP0330"/>
      <sheetName val="OP0331"/>
      <sheetName val="OP0332"/>
      <sheetName val="OP0333"/>
      <sheetName val="OP0334"/>
      <sheetName val="OP0335"/>
      <sheetName val="OP0336"/>
      <sheetName val="OP0337"/>
      <sheetName val="OP0338"/>
      <sheetName val="OP0339"/>
      <sheetName val="OP0340"/>
      <sheetName val="OP0341"/>
      <sheetName val="OP0342"/>
      <sheetName val="OP0343"/>
      <sheetName val="OP0344"/>
      <sheetName val="OP0345"/>
      <sheetName val="OP0346"/>
      <sheetName val="OP0347"/>
      <sheetName val="OP0348"/>
      <sheetName val="OP0349"/>
      <sheetName val="OP0350"/>
      <sheetName val="OP0351"/>
      <sheetName val="OP0352"/>
      <sheetName val="OP0353"/>
      <sheetName val="OP0354"/>
      <sheetName val="OP0355"/>
      <sheetName val="OP0356"/>
      <sheetName val="OP0357"/>
      <sheetName val="OP0358"/>
      <sheetName val="OP0359"/>
      <sheetName val="OP0360"/>
      <sheetName val="OP0361"/>
      <sheetName val="OP0362"/>
      <sheetName val="OP0364"/>
      <sheetName val="OP0365"/>
      <sheetName val="OP0366"/>
      <sheetName val="OP0367"/>
      <sheetName val="OP0368"/>
      <sheetName val="OP0369"/>
      <sheetName val="OP0370"/>
      <sheetName val="OP0371"/>
      <sheetName val="OP0372"/>
      <sheetName val="OP0373"/>
    </sheetNames>
    <definedNames>
      <definedName name="REGISTRO"/>
    </definedNames>
    <sheetDataSet>
      <sheetData sheetId="0"/>
      <sheetData sheetId="1">
        <row r="1">
          <cell r="A1" t="str">
            <v>COD</v>
          </cell>
          <cell r="B1" t="str">
            <v>NOMBRE</v>
          </cell>
        </row>
        <row r="2">
          <cell r="A2">
            <v>132</v>
          </cell>
          <cell r="B2" t="str">
            <v>ACIDO BORICO</v>
          </cell>
        </row>
        <row r="3">
          <cell r="A3">
            <v>447</v>
          </cell>
          <cell r="B3" t="str">
            <v>ACIDO FULVICO 60</v>
          </cell>
        </row>
        <row r="4">
          <cell r="A4">
            <v>443</v>
          </cell>
          <cell r="B4" t="str">
            <v>ACIDO FULVICO 80</v>
          </cell>
        </row>
        <row r="5">
          <cell r="A5">
            <v>379</v>
          </cell>
          <cell r="B5" t="str">
            <v>AFOS-K</v>
          </cell>
        </row>
        <row r="6">
          <cell r="A6">
            <v>361</v>
          </cell>
          <cell r="B6" t="str">
            <v>AMINOACIDOS 43</v>
          </cell>
        </row>
        <row r="7">
          <cell r="A7">
            <v>360</v>
          </cell>
          <cell r="B7" t="str">
            <v>AMINOACIDOS 80</v>
          </cell>
        </row>
        <row r="8">
          <cell r="A8">
            <v>145</v>
          </cell>
          <cell r="B8" t="str">
            <v>AZUFRE</v>
          </cell>
        </row>
        <row r="9">
          <cell r="A9">
            <v>130</v>
          </cell>
          <cell r="B9" t="str">
            <v>AZUFRE M100</v>
          </cell>
        </row>
        <row r="10">
          <cell r="A10">
            <v>223</v>
          </cell>
          <cell r="B10" t="str">
            <v>BENTONITA CALCICA</v>
          </cell>
        </row>
        <row r="11">
          <cell r="A11">
            <v>370</v>
          </cell>
          <cell r="B11" t="str">
            <v>BENTONITA GRIS</v>
          </cell>
        </row>
        <row r="12">
          <cell r="A12">
            <v>370</v>
          </cell>
          <cell r="B12" t="str">
            <v>BENTONITA GRIS</v>
          </cell>
        </row>
        <row r="13">
          <cell r="A13">
            <v>370</v>
          </cell>
          <cell r="B13" t="str">
            <v>BENTONITA GRIS</v>
          </cell>
        </row>
        <row r="14">
          <cell r="A14">
            <v>370</v>
          </cell>
          <cell r="B14" t="str">
            <v>BENTONITA GRIS</v>
          </cell>
        </row>
        <row r="15">
          <cell r="A15">
            <v>111</v>
          </cell>
          <cell r="B15" t="str">
            <v>BENTONITA ROJA</v>
          </cell>
        </row>
        <row r="16">
          <cell r="A16">
            <v>111</v>
          </cell>
          <cell r="B16" t="str">
            <v>BENTONITA ROJA</v>
          </cell>
        </row>
        <row r="17">
          <cell r="A17">
            <v>111</v>
          </cell>
          <cell r="B17" t="str">
            <v>BENTONITA ROJA</v>
          </cell>
        </row>
        <row r="18">
          <cell r="A18">
            <v>111</v>
          </cell>
          <cell r="B18" t="str">
            <v>BENTONITA ROJA</v>
          </cell>
        </row>
        <row r="19">
          <cell r="A19">
            <v>123</v>
          </cell>
          <cell r="B19" t="str">
            <v>BORO G</v>
          </cell>
        </row>
        <row r="20">
          <cell r="A20">
            <v>320</v>
          </cell>
          <cell r="B20" t="str">
            <v>ARCICOL</v>
          </cell>
        </row>
        <row r="21">
          <cell r="A21">
            <v>576</v>
          </cell>
          <cell r="B21" t="str">
            <v>BZINC-15</v>
          </cell>
        </row>
        <row r="22">
          <cell r="A22">
            <v>463</v>
          </cell>
          <cell r="B22" t="str">
            <v>CAL APAGADA</v>
          </cell>
        </row>
        <row r="23">
          <cell r="A23">
            <v>120</v>
          </cell>
          <cell r="B23" t="str">
            <v>CAL DOLOMITA</v>
          </cell>
        </row>
        <row r="24">
          <cell r="A24">
            <v>325</v>
          </cell>
          <cell r="B24" t="str">
            <v>CALFERCAT</v>
          </cell>
        </row>
        <row r="25">
          <cell r="A25">
            <v>311</v>
          </cell>
          <cell r="B25" t="str">
            <v>CALFERCORRECTIVO</v>
          </cell>
        </row>
        <row r="26">
          <cell r="A26">
            <v>26</v>
          </cell>
          <cell r="B26" t="str">
            <v>CALFERMAGNESIO</v>
          </cell>
        </row>
        <row r="27">
          <cell r="A27">
            <v>150</v>
          </cell>
          <cell r="B27" t="str">
            <v>CALFERZINC P</v>
          </cell>
        </row>
        <row r="28">
          <cell r="A28">
            <v>113</v>
          </cell>
          <cell r="B28" t="str">
            <v>CALFOS G</v>
          </cell>
        </row>
        <row r="29">
          <cell r="A29">
            <v>110</v>
          </cell>
          <cell r="B29" t="str">
            <v>CAOLIN GRIS</v>
          </cell>
        </row>
        <row r="30">
          <cell r="A30">
            <v>105</v>
          </cell>
          <cell r="B30" t="str">
            <v>CARBONATO CALCIO</v>
          </cell>
        </row>
        <row r="31">
          <cell r="A31">
            <v>105</v>
          </cell>
          <cell r="B31" t="str">
            <v>CARBONATO CALCIO</v>
          </cell>
        </row>
        <row r="32">
          <cell r="A32">
            <v>105</v>
          </cell>
          <cell r="B32" t="str">
            <v>CARBONATO CALCIO</v>
          </cell>
        </row>
        <row r="33">
          <cell r="A33">
            <v>450</v>
          </cell>
          <cell r="B33" t="str">
            <v>CARBONITRO</v>
          </cell>
        </row>
        <row r="34">
          <cell r="A34">
            <v>103</v>
          </cell>
          <cell r="B34" t="str">
            <v>CITRATO ZINC</v>
          </cell>
        </row>
        <row r="35">
          <cell r="A35">
            <v>97</v>
          </cell>
          <cell r="B35" t="str">
            <v>DAP</v>
          </cell>
        </row>
        <row r="36">
          <cell r="A36">
            <v>97</v>
          </cell>
          <cell r="B36" t="str">
            <v>DAP</v>
          </cell>
        </row>
        <row r="37">
          <cell r="A37">
            <v>97</v>
          </cell>
          <cell r="B37" t="str">
            <v>DAP</v>
          </cell>
        </row>
        <row r="38">
          <cell r="A38">
            <v>97</v>
          </cell>
          <cell r="B38" t="str">
            <v>DAP</v>
          </cell>
        </row>
        <row r="39">
          <cell r="A39">
            <v>97</v>
          </cell>
          <cell r="B39" t="str">
            <v>DAP</v>
          </cell>
        </row>
        <row r="40">
          <cell r="A40">
            <v>97</v>
          </cell>
          <cell r="B40" t="str">
            <v>DAP</v>
          </cell>
        </row>
        <row r="41">
          <cell r="A41">
            <v>226</v>
          </cell>
          <cell r="B41" t="str">
            <v>DAP TECNICO</v>
          </cell>
        </row>
        <row r="42">
          <cell r="A42">
            <v>79</v>
          </cell>
          <cell r="B42" t="str">
            <v>DKP</v>
          </cell>
        </row>
        <row r="43">
          <cell r="A43">
            <v>359</v>
          </cell>
          <cell r="B43" t="str">
            <v>EXTRACTO ALGAS</v>
          </cell>
        </row>
        <row r="44">
          <cell r="A44">
            <v>663</v>
          </cell>
          <cell r="B44" t="str">
            <v>FE FERTIMENORES</v>
          </cell>
        </row>
        <row r="45">
          <cell r="A45">
            <v>157</v>
          </cell>
          <cell r="B45" t="str">
            <v>FE MAGNE 6</v>
          </cell>
        </row>
        <row r="46">
          <cell r="A46">
            <v>655</v>
          </cell>
          <cell r="B46" t="str">
            <v>FE NUCLEO N</v>
          </cell>
        </row>
        <row r="47">
          <cell r="A47">
            <v>306</v>
          </cell>
          <cell r="B47" t="str">
            <v>FE SULFATO CALCIO C</v>
          </cell>
        </row>
        <row r="48">
          <cell r="A48">
            <v>559</v>
          </cell>
          <cell r="B48" t="str">
            <v>FE SULFATO CALCIO G</v>
          </cell>
        </row>
        <row r="49">
          <cell r="A49">
            <v>141</v>
          </cell>
          <cell r="B49" t="str">
            <v>FE SULFATO CALCIO P</v>
          </cell>
        </row>
        <row r="50">
          <cell r="A50">
            <v>213</v>
          </cell>
          <cell r="B50" t="str">
            <v>FE SULFATO CALCIO Z</v>
          </cell>
        </row>
        <row r="51">
          <cell r="A51">
            <v>22</v>
          </cell>
          <cell r="B51" t="str">
            <v>FE SULFATO ZINC</v>
          </cell>
        </row>
        <row r="52">
          <cell r="A52">
            <v>643</v>
          </cell>
          <cell r="B52" t="str">
            <v>FE SULFATO ZINC 22</v>
          </cell>
        </row>
        <row r="53">
          <cell r="A53">
            <v>564</v>
          </cell>
          <cell r="B53" t="str">
            <v>FE SULFATO ZINC 31</v>
          </cell>
        </row>
        <row r="54">
          <cell r="A54">
            <v>680</v>
          </cell>
          <cell r="B54" t="str">
            <v>FE ZUELOCa POLVO</v>
          </cell>
        </row>
        <row r="55">
          <cell r="A55">
            <v>161</v>
          </cell>
          <cell r="B55" t="str">
            <v>FERTIMENORES</v>
          </cell>
        </row>
        <row r="56">
          <cell r="A56">
            <v>437</v>
          </cell>
          <cell r="B56" t="str">
            <v>FOSFORITA NEIVA</v>
          </cell>
        </row>
        <row r="57">
          <cell r="A57">
            <v>501</v>
          </cell>
          <cell r="B57" t="str">
            <v>HIDROXIDO CALCIO</v>
          </cell>
        </row>
        <row r="58">
          <cell r="A58">
            <v>300</v>
          </cell>
          <cell r="B58" t="str">
            <v>K2K</v>
          </cell>
        </row>
        <row r="59">
          <cell r="A59">
            <v>144</v>
          </cell>
          <cell r="B59" t="str">
            <v>KCL</v>
          </cell>
        </row>
        <row r="60">
          <cell r="A60">
            <v>144</v>
          </cell>
          <cell r="B60" t="str">
            <v>KCL</v>
          </cell>
        </row>
        <row r="61">
          <cell r="A61">
            <v>144</v>
          </cell>
          <cell r="B61" t="str">
            <v>KCL</v>
          </cell>
        </row>
        <row r="62">
          <cell r="A62">
            <v>143</v>
          </cell>
          <cell r="B62" t="str">
            <v>KCL STD</v>
          </cell>
        </row>
        <row r="63">
          <cell r="A63">
            <v>74</v>
          </cell>
          <cell r="B63" t="str">
            <v>KIESERITA</v>
          </cell>
        </row>
        <row r="64">
          <cell r="A64">
            <v>75</v>
          </cell>
          <cell r="B64" t="str">
            <v>KIESERITA</v>
          </cell>
        </row>
        <row r="65">
          <cell r="A65">
            <v>152</v>
          </cell>
          <cell r="B65" t="str">
            <v>LEONARDITA</v>
          </cell>
        </row>
        <row r="66">
          <cell r="A66">
            <v>154</v>
          </cell>
          <cell r="B66" t="str">
            <v>MAGNE 3</v>
          </cell>
        </row>
        <row r="67">
          <cell r="A67">
            <v>72</v>
          </cell>
          <cell r="B67" t="str">
            <v>MAP</v>
          </cell>
        </row>
        <row r="68">
          <cell r="A68">
            <v>72</v>
          </cell>
          <cell r="B68" t="str">
            <v>MAP</v>
          </cell>
        </row>
        <row r="69">
          <cell r="A69">
            <v>72</v>
          </cell>
          <cell r="B69" t="str">
            <v>MAP</v>
          </cell>
        </row>
        <row r="70">
          <cell r="A70">
            <v>72</v>
          </cell>
          <cell r="B70" t="str">
            <v>MAP</v>
          </cell>
        </row>
        <row r="71">
          <cell r="A71">
            <v>72</v>
          </cell>
          <cell r="B71" t="str">
            <v>MAP</v>
          </cell>
        </row>
        <row r="72">
          <cell r="A72">
            <v>193</v>
          </cell>
          <cell r="B72" t="str">
            <v>MAP STD</v>
          </cell>
        </row>
        <row r="73">
          <cell r="A73">
            <v>193</v>
          </cell>
          <cell r="B73" t="str">
            <v>MAP STD</v>
          </cell>
        </row>
        <row r="74">
          <cell r="A74">
            <v>411</v>
          </cell>
          <cell r="B74" t="str">
            <v>MF 0-15-15+EM</v>
          </cell>
        </row>
        <row r="75">
          <cell r="A75">
            <v>137</v>
          </cell>
          <cell r="B75" t="str">
            <v>MF 10-20-20</v>
          </cell>
        </row>
        <row r="76">
          <cell r="A76">
            <v>86</v>
          </cell>
          <cell r="B76" t="str">
            <v>MF 10-30-10</v>
          </cell>
        </row>
        <row r="77">
          <cell r="A77">
            <v>407</v>
          </cell>
          <cell r="B77" t="str">
            <v>MF 10N-10P-20K+EM</v>
          </cell>
        </row>
        <row r="78">
          <cell r="A78">
            <v>396</v>
          </cell>
          <cell r="B78" t="str">
            <v>MF 10N-15P-20K+EM</v>
          </cell>
        </row>
        <row r="79">
          <cell r="A79">
            <v>495</v>
          </cell>
          <cell r="B79" t="str">
            <v>MF 10N-15P-29K+EM</v>
          </cell>
        </row>
        <row r="80">
          <cell r="A80">
            <v>408</v>
          </cell>
          <cell r="B80" t="str">
            <v>MF 10N-20P-20K+EM</v>
          </cell>
        </row>
        <row r="81">
          <cell r="A81">
            <v>464</v>
          </cell>
          <cell r="B81" t="str">
            <v>MF 10N-20P-28K+EM</v>
          </cell>
        </row>
        <row r="82">
          <cell r="A82">
            <v>423</v>
          </cell>
          <cell r="B82" t="str">
            <v>MF 10N-20P-30K+EM</v>
          </cell>
        </row>
        <row r="83">
          <cell r="A83">
            <v>406</v>
          </cell>
          <cell r="B83" t="str">
            <v>MF 10N-24P-4K+EM</v>
          </cell>
        </row>
        <row r="84">
          <cell r="A84">
            <v>387</v>
          </cell>
          <cell r="B84" t="str">
            <v>MF 10N-28P-6K+EM</v>
          </cell>
        </row>
        <row r="85">
          <cell r="A85">
            <v>390</v>
          </cell>
          <cell r="B85" t="str">
            <v>MF 10N-6P-4K + EM</v>
          </cell>
        </row>
        <row r="86">
          <cell r="A86">
            <v>670</v>
          </cell>
          <cell r="B86" t="str">
            <v>MF 10N-9P-30K</v>
          </cell>
        </row>
        <row r="87">
          <cell r="A87">
            <v>458</v>
          </cell>
          <cell r="B87" t="str">
            <v>MF 10N-9P-30K+EM</v>
          </cell>
        </row>
        <row r="88">
          <cell r="A88">
            <v>388</v>
          </cell>
          <cell r="B88" t="str">
            <v>MF 11-5-27</v>
          </cell>
        </row>
        <row r="89">
          <cell r="A89">
            <v>543</v>
          </cell>
          <cell r="B89" t="str">
            <v>MF 11N-29P-12K+EM</v>
          </cell>
        </row>
        <row r="90">
          <cell r="A90">
            <v>268</v>
          </cell>
          <cell r="B90" t="str">
            <v>MF 12-24-12</v>
          </cell>
        </row>
        <row r="91">
          <cell r="A91">
            <v>317</v>
          </cell>
          <cell r="B91" t="str">
            <v>MF 12-24-12+EM</v>
          </cell>
        </row>
        <row r="92">
          <cell r="A92">
            <v>318</v>
          </cell>
          <cell r="B92" t="str">
            <v>MF 12-7-12+EM</v>
          </cell>
        </row>
        <row r="93">
          <cell r="A93">
            <v>496</v>
          </cell>
          <cell r="B93" t="str">
            <v>MF 12N-30P-10K+EM</v>
          </cell>
        </row>
        <row r="94">
          <cell r="A94">
            <v>490</v>
          </cell>
          <cell r="B94" t="str">
            <v>MF 13N-26P-10K+ EM</v>
          </cell>
        </row>
        <row r="95">
          <cell r="A95">
            <v>419</v>
          </cell>
          <cell r="B95" t="str">
            <v>MF 13N-7P-12K+EM</v>
          </cell>
        </row>
        <row r="96">
          <cell r="A96">
            <v>381</v>
          </cell>
          <cell r="B96" t="str">
            <v>MF 14-3-19-7Ca+EM</v>
          </cell>
        </row>
        <row r="97">
          <cell r="A97">
            <v>433</v>
          </cell>
          <cell r="B97" t="str">
            <v>MF 14N-4P-23K+EM</v>
          </cell>
        </row>
        <row r="98">
          <cell r="A98">
            <v>516</v>
          </cell>
          <cell r="B98" t="str">
            <v>MF 14N-4P-24K+EM</v>
          </cell>
        </row>
        <row r="99">
          <cell r="A99">
            <v>85</v>
          </cell>
          <cell r="B99" t="str">
            <v>MF 15-15-15</v>
          </cell>
        </row>
        <row r="100">
          <cell r="A100">
            <v>462</v>
          </cell>
          <cell r="B100" t="str">
            <v>MF 15N-4P-23K+EM</v>
          </cell>
        </row>
        <row r="101">
          <cell r="A101">
            <v>426</v>
          </cell>
          <cell r="B101" t="str">
            <v>MF 15N-6P-8K+EM</v>
          </cell>
        </row>
        <row r="102">
          <cell r="A102">
            <v>612</v>
          </cell>
          <cell r="B102" t="str">
            <v>MF 16-26-12</v>
          </cell>
        </row>
        <row r="103">
          <cell r="A103">
            <v>517</v>
          </cell>
          <cell r="B103" t="str">
            <v>MF 16N-16P-16K+EM</v>
          </cell>
        </row>
        <row r="104">
          <cell r="A104">
            <v>441</v>
          </cell>
          <cell r="B104" t="str">
            <v>MF 16N-17P-0K-7Ca+EM</v>
          </cell>
        </row>
        <row r="105">
          <cell r="A105">
            <v>405</v>
          </cell>
          <cell r="B105" t="str">
            <v>MF 16N-3P-14K+EM</v>
          </cell>
        </row>
        <row r="106">
          <cell r="A106">
            <v>84</v>
          </cell>
          <cell r="B106" t="str">
            <v>MF 17-6-18-2-1</v>
          </cell>
        </row>
        <row r="107">
          <cell r="A107">
            <v>402</v>
          </cell>
          <cell r="B107" t="str">
            <v>MF 17-6-18-6+EM</v>
          </cell>
        </row>
        <row r="108">
          <cell r="A108">
            <v>401</v>
          </cell>
          <cell r="B108" t="str">
            <v>MF 17-8-11+EM+CO</v>
          </cell>
        </row>
        <row r="109">
          <cell r="A109">
            <v>478</v>
          </cell>
          <cell r="B109" t="str">
            <v>MF 17N-4P-23K+EM</v>
          </cell>
        </row>
        <row r="110">
          <cell r="A110">
            <v>477</v>
          </cell>
          <cell r="B110" t="str">
            <v>MF 17N-5P-7K+EM</v>
          </cell>
        </row>
        <row r="111">
          <cell r="A111">
            <v>83</v>
          </cell>
          <cell r="B111" t="str">
            <v>MF 18-18-18</v>
          </cell>
        </row>
        <row r="112">
          <cell r="A112">
            <v>353</v>
          </cell>
          <cell r="B112" t="str">
            <v>MF 18-8-5-4+EM</v>
          </cell>
        </row>
        <row r="113">
          <cell r="A113">
            <v>301</v>
          </cell>
          <cell r="B113" t="str">
            <v>MF 19-1-2-1+EM</v>
          </cell>
        </row>
        <row r="114">
          <cell r="A114">
            <v>304</v>
          </cell>
          <cell r="B114" t="str">
            <v>MF 19-5-9-5+EM</v>
          </cell>
        </row>
        <row r="115">
          <cell r="A115">
            <v>384</v>
          </cell>
          <cell r="B115" t="str">
            <v>MF 19N-1P-3K + MENORES</v>
          </cell>
        </row>
        <row r="116">
          <cell r="A116">
            <v>442</v>
          </cell>
          <cell r="B116" t="str">
            <v>MF 19N-3P-18K+EM</v>
          </cell>
        </row>
        <row r="117">
          <cell r="A117">
            <v>284</v>
          </cell>
          <cell r="B117" t="str">
            <v>MF 20-17-18+TCM</v>
          </cell>
        </row>
        <row r="118">
          <cell r="A118">
            <v>529</v>
          </cell>
          <cell r="B118" t="str">
            <v>MF 20N-0P-30K-3S</v>
          </cell>
        </row>
        <row r="119">
          <cell r="A119">
            <v>519</v>
          </cell>
          <cell r="B119" t="str">
            <v>MF 20N-3P-15K+EM</v>
          </cell>
        </row>
        <row r="120">
          <cell r="A120">
            <v>457</v>
          </cell>
          <cell r="B120" t="str">
            <v>MF 20N-6P-0K-5CA+EM</v>
          </cell>
        </row>
        <row r="121">
          <cell r="A121">
            <v>631</v>
          </cell>
          <cell r="B121" t="str">
            <v>MF 20N-8P-10K+EM</v>
          </cell>
        </row>
        <row r="122">
          <cell r="A122">
            <v>172</v>
          </cell>
          <cell r="B122" t="str">
            <v>MF 21-1-2+EM</v>
          </cell>
        </row>
        <row r="123">
          <cell r="A123">
            <v>357</v>
          </cell>
          <cell r="B123" t="str">
            <v>MF 21-5-10-6S+EM</v>
          </cell>
        </row>
        <row r="124">
          <cell r="A124">
            <v>415</v>
          </cell>
          <cell r="B124" t="str">
            <v>MF 21N-2P-8K+EM</v>
          </cell>
        </row>
        <row r="125">
          <cell r="A125">
            <v>316</v>
          </cell>
          <cell r="B125" t="str">
            <v>MF 21N-3P-8K-3Ca+MENORES</v>
          </cell>
        </row>
        <row r="126">
          <cell r="A126">
            <v>307</v>
          </cell>
          <cell r="B126" t="str">
            <v>MF 21N-4P-5K-3Ca+MENORES</v>
          </cell>
        </row>
        <row r="127">
          <cell r="A127">
            <v>497</v>
          </cell>
          <cell r="B127" t="str">
            <v>MF 21N-5P-10K+EM</v>
          </cell>
        </row>
        <row r="128">
          <cell r="A128">
            <v>471</v>
          </cell>
          <cell r="B128" t="str">
            <v>MF 21N-5P-9K+EM</v>
          </cell>
        </row>
        <row r="129">
          <cell r="A129">
            <v>632</v>
          </cell>
          <cell r="B129" t="str">
            <v>MF 21N-9P-9K+EM</v>
          </cell>
        </row>
        <row r="130">
          <cell r="A130">
            <v>315</v>
          </cell>
          <cell r="B130" t="str">
            <v>MF 22N 3P 13K 4S+MENORES</v>
          </cell>
        </row>
        <row r="131">
          <cell r="A131">
            <v>524</v>
          </cell>
          <cell r="B131" t="str">
            <v>MF 22N-0P-25K-3S</v>
          </cell>
        </row>
        <row r="132">
          <cell r="A132">
            <v>526</v>
          </cell>
          <cell r="B132" t="str">
            <v>MF 22N-0P-3K+EM</v>
          </cell>
        </row>
        <row r="133">
          <cell r="A133">
            <v>511</v>
          </cell>
          <cell r="B133" t="str">
            <v>MF 22N-4P-8K+EM</v>
          </cell>
        </row>
        <row r="134">
          <cell r="A134">
            <v>525</v>
          </cell>
          <cell r="B134" t="str">
            <v>MF 22N-5P-13K+EM</v>
          </cell>
        </row>
        <row r="135">
          <cell r="A135">
            <v>456</v>
          </cell>
          <cell r="B135" t="str">
            <v>MF 22N-6P-3K+EM</v>
          </cell>
        </row>
        <row r="136">
          <cell r="A136">
            <v>398</v>
          </cell>
          <cell r="B136" t="str">
            <v>MF 22N-6P-7Ca+EM</v>
          </cell>
        </row>
        <row r="137">
          <cell r="A137">
            <v>633</v>
          </cell>
          <cell r="B137" t="str">
            <v>MF 22N-6P-7K+EM</v>
          </cell>
        </row>
        <row r="138">
          <cell r="A138">
            <v>634</v>
          </cell>
          <cell r="B138" t="str">
            <v>MF 22N-9P-9K+EM</v>
          </cell>
        </row>
        <row r="139">
          <cell r="A139">
            <v>20</v>
          </cell>
          <cell r="B139" t="str">
            <v>MF 23-3-20</v>
          </cell>
        </row>
        <row r="140">
          <cell r="A140">
            <v>618</v>
          </cell>
          <cell r="B140" t="str">
            <v>MF 23N 6P 8K + EM</v>
          </cell>
        </row>
        <row r="141">
          <cell r="A141">
            <v>394</v>
          </cell>
          <cell r="B141" t="str">
            <v>MF 23N-3P-20K+EM</v>
          </cell>
        </row>
        <row r="142">
          <cell r="A142">
            <v>506</v>
          </cell>
          <cell r="B142" t="str">
            <v>MF 23N-5P-6K+EM</v>
          </cell>
        </row>
        <row r="143">
          <cell r="A143">
            <v>508</v>
          </cell>
          <cell r="B143" t="str">
            <v>MF 23N-6P-8K+EM</v>
          </cell>
        </row>
        <row r="144">
          <cell r="A144">
            <v>308</v>
          </cell>
          <cell r="B144" t="str">
            <v>MF 24-0-17+EM</v>
          </cell>
        </row>
        <row r="145">
          <cell r="A145">
            <v>174</v>
          </cell>
          <cell r="B145" t="str">
            <v>MF 24-3-9-3+EM</v>
          </cell>
        </row>
        <row r="146">
          <cell r="A146">
            <v>348</v>
          </cell>
          <cell r="B146" t="str">
            <v>MF 24-5-7-5S-3Ca+1CO</v>
          </cell>
        </row>
        <row r="147">
          <cell r="A147">
            <v>436</v>
          </cell>
          <cell r="B147" t="str">
            <v>MF 24N-0P-2K+EM</v>
          </cell>
        </row>
        <row r="148">
          <cell r="A148">
            <v>532</v>
          </cell>
          <cell r="B148" t="str">
            <v>MF 24N-3P-12K+EM</v>
          </cell>
        </row>
        <row r="149">
          <cell r="A149">
            <v>440</v>
          </cell>
          <cell r="B149" t="str">
            <v>MF 24N-4P-11K+EM</v>
          </cell>
        </row>
        <row r="150">
          <cell r="A150">
            <v>473</v>
          </cell>
          <cell r="B150" t="str">
            <v>MF 24N-5P-6K+EM</v>
          </cell>
        </row>
        <row r="151">
          <cell r="A151">
            <v>328</v>
          </cell>
          <cell r="B151" t="str">
            <v>MF 25-0-15+EM</v>
          </cell>
        </row>
        <row r="152">
          <cell r="A152">
            <v>146</v>
          </cell>
          <cell r="B152" t="str">
            <v>MF 25-0-17-4S+EM</v>
          </cell>
        </row>
        <row r="153">
          <cell r="A153">
            <v>148</v>
          </cell>
          <cell r="B153" t="str">
            <v>MF 25-10-18+ MENORES</v>
          </cell>
        </row>
        <row r="154">
          <cell r="A154">
            <v>175</v>
          </cell>
          <cell r="B154" t="str">
            <v>MF 25-10-18+EM</v>
          </cell>
        </row>
        <row r="155">
          <cell r="A155">
            <v>382</v>
          </cell>
          <cell r="B155" t="str">
            <v>MF 25-15-2-3-2</v>
          </cell>
        </row>
        <row r="156">
          <cell r="A156">
            <v>82</v>
          </cell>
          <cell r="B156" t="str">
            <v>MF 25-4-24</v>
          </cell>
        </row>
        <row r="157">
          <cell r="A157">
            <v>518</v>
          </cell>
          <cell r="B157" t="str">
            <v>MF 25N-17P-1K+EM</v>
          </cell>
        </row>
        <row r="158">
          <cell r="A158">
            <v>455</v>
          </cell>
          <cell r="B158" t="str">
            <v>MF 25N-1P-13K+EM</v>
          </cell>
        </row>
        <row r="159">
          <cell r="A159">
            <v>509</v>
          </cell>
          <cell r="B159" t="str">
            <v>MF 25N-4P-11K+EM</v>
          </cell>
        </row>
        <row r="160">
          <cell r="A160">
            <v>656</v>
          </cell>
          <cell r="B160" t="str">
            <v>MF 25N-4P-17K+EM</v>
          </cell>
        </row>
        <row r="161">
          <cell r="A161">
            <v>367</v>
          </cell>
          <cell r="B161" t="str">
            <v>MF 25N-5P-0K-8Ca+EM</v>
          </cell>
        </row>
        <row r="162">
          <cell r="A162">
            <v>533</v>
          </cell>
          <cell r="B162" t="str">
            <v>MF 25N-5P-12K+EM</v>
          </cell>
        </row>
        <row r="163">
          <cell r="A163">
            <v>492</v>
          </cell>
          <cell r="B163" t="str">
            <v>MF 25N-7K-2CA+EM</v>
          </cell>
        </row>
        <row r="164">
          <cell r="A164">
            <v>652</v>
          </cell>
          <cell r="B164" t="str">
            <v>MF 25N-7P-7K+EM</v>
          </cell>
        </row>
        <row r="165">
          <cell r="A165">
            <v>648</v>
          </cell>
          <cell r="B165" t="str">
            <v>MF 25N-8P-14K+EM</v>
          </cell>
        </row>
        <row r="166">
          <cell r="A166">
            <v>159</v>
          </cell>
          <cell r="B166" t="str">
            <v>MF 26-0-17+EM</v>
          </cell>
        </row>
        <row r="167">
          <cell r="A167">
            <v>176</v>
          </cell>
          <cell r="B167" t="str">
            <v>MF 26-1-12-+EM</v>
          </cell>
        </row>
        <row r="168">
          <cell r="A168">
            <v>619</v>
          </cell>
          <cell r="B168" t="str">
            <v>MF 26N 7P 6K + EM</v>
          </cell>
        </row>
        <row r="169">
          <cell r="A169">
            <v>514</v>
          </cell>
          <cell r="B169" t="str">
            <v>MF 26N-1P-11K+EM</v>
          </cell>
        </row>
        <row r="170">
          <cell r="A170">
            <v>512</v>
          </cell>
          <cell r="B170" t="str">
            <v>MF 26N-5P-11K+EM</v>
          </cell>
        </row>
        <row r="171">
          <cell r="A171">
            <v>476</v>
          </cell>
          <cell r="B171" t="str">
            <v>MF 26N-9P-9K+EM</v>
          </cell>
        </row>
        <row r="172">
          <cell r="A172">
            <v>136</v>
          </cell>
          <cell r="B172" t="str">
            <v>MF 27-17-0Ca</v>
          </cell>
        </row>
        <row r="173">
          <cell r="A173">
            <v>630</v>
          </cell>
          <cell r="B173" t="str">
            <v>MF 27N-0P-14K+EM</v>
          </cell>
        </row>
        <row r="174">
          <cell r="A174">
            <v>385</v>
          </cell>
          <cell r="B174" t="str">
            <v>MF 27N-15K-5S-2Si-0.80CO</v>
          </cell>
        </row>
        <row r="175">
          <cell r="A175">
            <v>445</v>
          </cell>
          <cell r="B175" t="str">
            <v>MF 27N-1P-12K-2Ca+EM</v>
          </cell>
        </row>
        <row r="176">
          <cell r="A176">
            <v>475</v>
          </cell>
          <cell r="B176" t="str">
            <v>MF 27N-1P-7K+EM</v>
          </cell>
        </row>
        <row r="177">
          <cell r="A177">
            <v>653</v>
          </cell>
          <cell r="B177" t="str">
            <v>MF 27N-1P-8K+EM</v>
          </cell>
        </row>
        <row r="178">
          <cell r="A178">
            <v>642</v>
          </cell>
          <cell r="B178" t="str">
            <v>MF 27N-3P-12K+EM</v>
          </cell>
        </row>
        <row r="179">
          <cell r="A179">
            <v>536</v>
          </cell>
          <cell r="B179" t="str">
            <v>MF 27N-3P-3K+EM</v>
          </cell>
        </row>
        <row r="180">
          <cell r="A180">
            <v>438</v>
          </cell>
          <cell r="B180" t="str">
            <v>MF 27N-4P-3K+EM</v>
          </cell>
        </row>
        <row r="181">
          <cell r="A181">
            <v>606</v>
          </cell>
          <cell r="B181" t="str">
            <v>MF 27N-6P-13K+EM</v>
          </cell>
        </row>
        <row r="182">
          <cell r="A182">
            <v>480</v>
          </cell>
          <cell r="B182" t="str">
            <v>MF 27N-9K-10S+EM</v>
          </cell>
        </row>
        <row r="183">
          <cell r="A183">
            <v>299</v>
          </cell>
          <cell r="B183" t="str">
            <v>MF 28-0-6-2Ca+EM</v>
          </cell>
        </row>
        <row r="184">
          <cell r="A184">
            <v>312</v>
          </cell>
          <cell r="B184" t="str">
            <v>MF 28-0-9-2Ca+EM</v>
          </cell>
        </row>
        <row r="185">
          <cell r="A185">
            <v>165</v>
          </cell>
          <cell r="B185" t="str">
            <v>MF 28-1-12+EM</v>
          </cell>
        </row>
        <row r="186">
          <cell r="A186">
            <v>303</v>
          </cell>
          <cell r="B186" t="str">
            <v>MF 28-1-6-2Ca+EM</v>
          </cell>
        </row>
        <row r="187">
          <cell r="A187">
            <v>352</v>
          </cell>
          <cell r="B187" t="str">
            <v>MF 28-1-6-5S-EM+1CO</v>
          </cell>
        </row>
        <row r="188">
          <cell r="A188">
            <v>620</v>
          </cell>
          <cell r="B188" t="str">
            <v>MF 28N 1P 7K +EM</v>
          </cell>
        </row>
        <row r="189">
          <cell r="A189">
            <v>617</v>
          </cell>
          <cell r="B189" t="str">
            <v>MF 28N 1P 8K + EM</v>
          </cell>
        </row>
        <row r="190">
          <cell r="A190">
            <v>513</v>
          </cell>
          <cell r="B190" t="str">
            <v>MF 28N-0P-12K+EM</v>
          </cell>
        </row>
        <row r="191">
          <cell r="A191">
            <v>537</v>
          </cell>
          <cell r="B191" t="str">
            <v>MF 28N-14P-10K+EM</v>
          </cell>
        </row>
        <row r="192">
          <cell r="A192">
            <v>432</v>
          </cell>
          <cell r="B192" t="str">
            <v>MF 28N-1P-12K+EM</v>
          </cell>
        </row>
        <row r="193">
          <cell r="A193">
            <v>487</v>
          </cell>
          <cell r="B193" t="str">
            <v>MF 28N-4P-15K +EM</v>
          </cell>
        </row>
        <row r="194">
          <cell r="A194">
            <v>469</v>
          </cell>
          <cell r="B194" t="str">
            <v>MF 28N-5P-6K+EM</v>
          </cell>
        </row>
        <row r="195">
          <cell r="A195">
            <v>527</v>
          </cell>
          <cell r="B195" t="str">
            <v>MF 29N-0P-16K-4S</v>
          </cell>
        </row>
        <row r="196">
          <cell r="A196">
            <v>522</v>
          </cell>
          <cell r="B196" t="str">
            <v>MF 29N-10P-10K+EM</v>
          </cell>
        </row>
        <row r="197">
          <cell r="A197">
            <v>417</v>
          </cell>
          <cell r="B197" t="str">
            <v>MF 29N-3P-15K+EM</v>
          </cell>
        </row>
        <row r="198">
          <cell r="A198">
            <v>163</v>
          </cell>
          <cell r="B198" t="str">
            <v>MF 30-0-20 +EM +TMC</v>
          </cell>
        </row>
        <row r="199">
          <cell r="A199">
            <v>418</v>
          </cell>
          <cell r="B199" t="str">
            <v>MF 30N 0P 20K</v>
          </cell>
        </row>
        <row r="200">
          <cell r="A200">
            <v>538</v>
          </cell>
          <cell r="B200" t="str">
            <v>MF 30N-11P-10K+EM</v>
          </cell>
        </row>
        <row r="201">
          <cell r="A201">
            <v>493</v>
          </cell>
          <cell r="B201" t="str">
            <v>MF 30N-12K-2CA+EM</v>
          </cell>
        </row>
        <row r="202">
          <cell r="A202">
            <v>389</v>
          </cell>
          <cell r="B202" t="str">
            <v>MF 3-10-2 + EM</v>
          </cell>
        </row>
        <row r="203">
          <cell r="A203">
            <v>298</v>
          </cell>
          <cell r="B203" t="str">
            <v>MF 31-0-20+NX</v>
          </cell>
        </row>
        <row r="204">
          <cell r="A204">
            <v>187</v>
          </cell>
          <cell r="B204" t="str">
            <v>MF 31-0-20+TMC</v>
          </cell>
        </row>
        <row r="205">
          <cell r="A205">
            <v>81</v>
          </cell>
          <cell r="B205" t="str">
            <v>MF 31-8-8-2</v>
          </cell>
        </row>
        <row r="206">
          <cell r="A206">
            <v>521</v>
          </cell>
          <cell r="B206" t="str">
            <v>MF 31N-6P-11K+EM</v>
          </cell>
        </row>
        <row r="207">
          <cell r="A207">
            <v>380</v>
          </cell>
          <cell r="B207" t="str">
            <v>MF 32-0-6+EM</v>
          </cell>
        </row>
        <row r="208">
          <cell r="A208">
            <v>327</v>
          </cell>
          <cell r="B208" t="str">
            <v>MF 32-6-5-2SI-1CO</v>
          </cell>
        </row>
        <row r="209">
          <cell r="A209">
            <v>383</v>
          </cell>
          <cell r="B209" t="str">
            <v>MF 32N 1P 6K 2Ca+ EM</v>
          </cell>
        </row>
        <row r="210">
          <cell r="A210">
            <v>665</v>
          </cell>
          <cell r="B210" t="str">
            <v>MF 32N-1P-12K+EM</v>
          </cell>
        </row>
        <row r="211">
          <cell r="A211">
            <v>626</v>
          </cell>
          <cell r="B211" t="str">
            <v>MF 33N-1P-12K+EM</v>
          </cell>
        </row>
        <row r="212">
          <cell r="A212">
            <v>479</v>
          </cell>
          <cell r="B212" t="str">
            <v>MF 33N-5P-12K</v>
          </cell>
        </row>
        <row r="213">
          <cell r="A213">
            <v>523</v>
          </cell>
          <cell r="B213" t="str">
            <v>MF 37N-0P-11K</v>
          </cell>
        </row>
        <row r="214">
          <cell r="A214">
            <v>434</v>
          </cell>
          <cell r="B214" t="str">
            <v>MF 37N-2Ca-2Mg+EM</v>
          </cell>
        </row>
        <row r="215">
          <cell r="A215">
            <v>168</v>
          </cell>
          <cell r="B215" t="str">
            <v>MF 38-0-0-8</v>
          </cell>
        </row>
        <row r="216">
          <cell r="A216">
            <v>399</v>
          </cell>
          <cell r="B216" t="str">
            <v>MF 38N-10K_</v>
          </cell>
        </row>
        <row r="217">
          <cell r="A217">
            <v>640</v>
          </cell>
          <cell r="B217" t="str">
            <v>MF 3N-13P-32K+EM</v>
          </cell>
        </row>
        <row r="218">
          <cell r="A218">
            <v>369</v>
          </cell>
          <cell r="B218" t="str">
            <v>MF 40-3-0-2+EM</v>
          </cell>
        </row>
        <row r="219">
          <cell r="A219">
            <v>292</v>
          </cell>
          <cell r="B219" t="str">
            <v>MF 52K-1.1B-0.5Zn</v>
          </cell>
        </row>
        <row r="220">
          <cell r="A220">
            <v>391</v>
          </cell>
          <cell r="B220" t="str">
            <v>MF 6-9-6+EM</v>
          </cell>
        </row>
        <row r="221">
          <cell r="A221">
            <v>356</v>
          </cell>
          <cell r="B221" t="str">
            <v>MF 7-7-5-3S+EM+2CO</v>
          </cell>
        </row>
        <row r="222">
          <cell r="A222">
            <v>545</v>
          </cell>
          <cell r="B222" t="str">
            <v>MF 7N-14P-29K+EM</v>
          </cell>
        </row>
        <row r="223">
          <cell r="A223">
            <v>313</v>
          </cell>
          <cell r="B223" t="str">
            <v>MF 8-24-8+EM</v>
          </cell>
        </row>
        <row r="224">
          <cell r="A224">
            <v>435</v>
          </cell>
          <cell r="B224" t="str">
            <v>MF 8N-15P-23K+EM</v>
          </cell>
        </row>
        <row r="225">
          <cell r="A225">
            <v>510</v>
          </cell>
          <cell r="B225" t="str">
            <v>MF 8N-17P-34K-1S</v>
          </cell>
        </row>
        <row r="226">
          <cell r="A226">
            <v>453</v>
          </cell>
          <cell r="B226" t="str">
            <v>MF 8N-20P-12+EM</v>
          </cell>
        </row>
        <row r="227">
          <cell r="A227">
            <v>439</v>
          </cell>
          <cell r="B227" t="str">
            <v>MF 9N-12P-24K+EM</v>
          </cell>
        </row>
        <row r="228">
          <cell r="A228">
            <v>21</v>
          </cell>
          <cell r="B228" t="str">
            <v>MF-17-6-18-2</v>
          </cell>
        </row>
        <row r="229">
          <cell r="A229">
            <v>22</v>
          </cell>
          <cell r="B229" t="str">
            <v>MF-23-3-20-4Ca-3Si</v>
          </cell>
        </row>
        <row r="230">
          <cell r="A230">
            <v>673</v>
          </cell>
          <cell r="B230" t="str">
            <v>MFE 0N-1P0K+EM</v>
          </cell>
        </row>
        <row r="231">
          <cell r="A231">
            <v>588</v>
          </cell>
          <cell r="B231" t="str">
            <v>MFE 10N 11P 29K</v>
          </cell>
        </row>
        <row r="232">
          <cell r="A232">
            <v>641</v>
          </cell>
          <cell r="B232" t="str">
            <v>MFE 10N-24P-14K +EM</v>
          </cell>
        </row>
        <row r="233">
          <cell r="A233">
            <v>542</v>
          </cell>
          <cell r="B233" t="str">
            <v>MFE 10N-25P-8K+EM</v>
          </cell>
        </row>
        <row r="234">
          <cell r="A234">
            <v>589</v>
          </cell>
          <cell r="B234" t="str">
            <v>MFE 10N-6P-16K +EM</v>
          </cell>
        </row>
        <row r="235">
          <cell r="A235">
            <v>668</v>
          </cell>
          <cell r="B235" t="str">
            <v>MFE 10N-6P-6K+EM</v>
          </cell>
        </row>
        <row r="236">
          <cell r="A236">
            <v>569</v>
          </cell>
          <cell r="B236" t="str">
            <v>MFE 10N-9P-18K+EM</v>
          </cell>
        </row>
        <row r="237">
          <cell r="A237">
            <v>544</v>
          </cell>
          <cell r="B237" t="str">
            <v>MFE 11N-24P-9K+EM</v>
          </cell>
        </row>
        <row r="238">
          <cell r="A238">
            <v>646</v>
          </cell>
          <cell r="B238" t="str">
            <v>MFE 11N-25P-9K+EM</v>
          </cell>
        </row>
        <row r="239">
          <cell r="A239">
            <v>660</v>
          </cell>
          <cell r="B239" t="str">
            <v>MFE 11N-9P-18K+EM</v>
          </cell>
        </row>
        <row r="240">
          <cell r="A240">
            <v>587</v>
          </cell>
          <cell r="B240" t="str">
            <v>MFE 12N 25P 9K</v>
          </cell>
        </row>
        <row r="241">
          <cell r="A241">
            <v>659</v>
          </cell>
          <cell r="B241" t="str">
            <v>MFE 13N-15P-10K+EM</v>
          </cell>
        </row>
        <row r="242">
          <cell r="A242">
            <v>314</v>
          </cell>
          <cell r="B242" t="str">
            <v>MFE 13N-26P-6K+EM</v>
          </cell>
        </row>
        <row r="243">
          <cell r="A243">
            <v>540</v>
          </cell>
          <cell r="B243" t="str">
            <v>MFE 13N-26P-6K+EM</v>
          </cell>
        </row>
        <row r="244">
          <cell r="A244">
            <v>489</v>
          </cell>
          <cell r="B244" t="str">
            <v>MFE 13N-36P-10K+EM</v>
          </cell>
        </row>
        <row r="245">
          <cell r="A245">
            <v>601</v>
          </cell>
          <cell r="B245" t="str">
            <v>MFE 13N-6P-6K+EM</v>
          </cell>
        </row>
        <row r="246">
          <cell r="A246">
            <v>590</v>
          </cell>
          <cell r="B246" t="str">
            <v>MFE 15N-12P-20K+EM</v>
          </cell>
        </row>
        <row r="247">
          <cell r="A247">
            <v>623</v>
          </cell>
          <cell r="B247" t="str">
            <v>MFE 15N-20P-2K+EM</v>
          </cell>
        </row>
        <row r="248">
          <cell r="A248">
            <v>602</v>
          </cell>
          <cell r="B248" t="str">
            <v>MFE 15N-21P-1K+EM</v>
          </cell>
        </row>
        <row r="249">
          <cell r="A249">
            <v>635</v>
          </cell>
          <cell r="B249" t="str">
            <v>MFE 15N-9P-20K+EM</v>
          </cell>
        </row>
        <row r="250">
          <cell r="A250">
            <v>658</v>
          </cell>
          <cell r="B250" t="str">
            <v>MFE 16N-21P-5K+EM</v>
          </cell>
        </row>
        <row r="251">
          <cell r="A251">
            <v>429</v>
          </cell>
          <cell r="B251" t="str">
            <v>MFE 18N-18P-18K+EM</v>
          </cell>
        </row>
        <row r="252">
          <cell r="A252">
            <v>649</v>
          </cell>
          <cell r="B252" t="str">
            <v>MFE 18N-2P-0K+EM</v>
          </cell>
        </row>
        <row r="253">
          <cell r="A253">
            <v>414</v>
          </cell>
          <cell r="B253" t="str">
            <v>MFE 18N-9P-29K+EM</v>
          </cell>
        </row>
        <row r="254">
          <cell r="A254">
            <v>674</v>
          </cell>
          <cell r="B254" t="str">
            <v>MFE 19N-25P-6K+EM</v>
          </cell>
        </row>
        <row r="255">
          <cell r="A255">
            <v>566</v>
          </cell>
          <cell r="B255" t="str">
            <v>MFE 19N-4P-10K+EM</v>
          </cell>
        </row>
        <row r="256">
          <cell r="A256">
            <v>586</v>
          </cell>
          <cell r="B256" t="str">
            <v>MFE 19N-4P-18K</v>
          </cell>
        </row>
        <row r="257">
          <cell r="A257">
            <v>596</v>
          </cell>
          <cell r="B257" t="str">
            <v>MFE 20N-3P-14K+EM</v>
          </cell>
        </row>
        <row r="258">
          <cell r="A258">
            <v>413</v>
          </cell>
          <cell r="B258" t="str">
            <v>MFE 20N-4P-18K+EM</v>
          </cell>
        </row>
        <row r="259">
          <cell r="A259">
            <v>555</v>
          </cell>
          <cell r="B259" t="str">
            <v>MFE 21N-4P-11K+EM</v>
          </cell>
        </row>
        <row r="260">
          <cell r="A260">
            <v>654</v>
          </cell>
          <cell r="B260" t="str">
            <v>MFE 21N-7P-8K + EM</v>
          </cell>
        </row>
        <row r="261">
          <cell r="A261">
            <v>664</v>
          </cell>
          <cell r="B261" t="str">
            <v>MFE 22N-0P-19K+EM</v>
          </cell>
        </row>
        <row r="262">
          <cell r="A262">
            <v>560</v>
          </cell>
          <cell r="B262" t="str">
            <v>MFE 22N-3P-0K+ EM</v>
          </cell>
        </row>
        <row r="263">
          <cell r="A263">
            <v>645</v>
          </cell>
          <cell r="B263" t="str">
            <v>MFE 22N-3P-3K+EM</v>
          </cell>
        </row>
        <row r="264">
          <cell r="A264">
            <v>662</v>
          </cell>
          <cell r="B264" t="str">
            <v>MFE 22N-6P-3K+EM</v>
          </cell>
        </row>
        <row r="265">
          <cell r="A265">
            <v>605</v>
          </cell>
          <cell r="B265" t="str">
            <v>MFE 22N-7K-12S+EM</v>
          </cell>
        </row>
        <row r="266">
          <cell r="A266">
            <v>639</v>
          </cell>
          <cell r="B266" t="str">
            <v>MFE 22N-8P-10K+EM</v>
          </cell>
        </row>
        <row r="267">
          <cell r="A267">
            <v>535</v>
          </cell>
          <cell r="B267" t="str">
            <v>MFE 22N-9P-0K+EM</v>
          </cell>
        </row>
        <row r="268">
          <cell r="A268">
            <v>669</v>
          </cell>
          <cell r="B268" t="str">
            <v>MFE 23N-1P-18K+EM</v>
          </cell>
        </row>
        <row r="269">
          <cell r="A269">
            <v>651</v>
          </cell>
          <cell r="B269" t="str">
            <v>MFE 23N-4P-16K+EM</v>
          </cell>
        </row>
        <row r="270">
          <cell r="A270">
            <v>593</v>
          </cell>
          <cell r="B270" t="str">
            <v>MFE 23N-4P-9K+EM</v>
          </cell>
        </row>
        <row r="271">
          <cell r="A271">
            <v>420</v>
          </cell>
          <cell r="B271" t="str">
            <v>MFE 23N-5P-10K+EM</v>
          </cell>
        </row>
        <row r="272">
          <cell r="A272">
            <v>554</v>
          </cell>
          <cell r="B272" t="str">
            <v>MFE 23N-9P-11K+EM</v>
          </cell>
        </row>
        <row r="273">
          <cell r="A273">
            <v>650</v>
          </cell>
          <cell r="B273" t="str">
            <v>MFE 24N-2P-9K+EM</v>
          </cell>
        </row>
        <row r="274">
          <cell r="A274">
            <v>585</v>
          </cell>
          <cell r="B274" t="str">
            <v>MFE 24N-4-2K+EM</v>
          </cell>
        </row>
        <row r="275">
          <cell r="A275">
            <v>965</v>
          </cell>
          <cell r="B275" t="str">
            <v>MFE 24N-4P-10K+EM</v>
          </cell>
        </row>
        <row r="276">
          <cell r="A276">
            <v>616</v>
          </cell>
          <cell r="B276" t="str">
            <v>MFE 24N-6P-7K+EM</v>
          </cell>
        </row>
        <row r="277">
          <cell r="A277">
            <v>591</v>
          </cell>
          <cell r="B277" t="str">
            <v>MFE 24N-9K-12S+EM</v>
          </cell>
        </row>
        <row r="278">
          <cell r="A278">
            <v>614</v>
          </cell>
          <cell r="B278" t="str">
            <v>MFE 24N-9P-7S+EM</v>
          </cell>
        </row>
        <row r="279">
          <cell r="A279">
            <v>629</v>
          </cell>
          <cell r="B279" t="str">
            <v>MFE 25N-0P-8K+EM</v>
          </cell>
        </row>
        <row r="280">
          <cell r="A280">
            <v>412</v>
          </cell>
          <cell r="B280" t="str">
            <v>MFE 25N-13P-12K +EM</v>
          </cell>
        </row>
        <row r="281">
          <cell r="A281">
            <v>628</v>
          </cell>
          <cell r="B281" t="str">
            <v>MFE 25N-4P-14K+EM</v>
          </cell>
        </row>
        <row r="282">
          <cell r="A282">
            <v>677</v>
          </cell>
          <cell r="B282" t="str">
            <v>MFE 25N-6P-0K+EM</v>
          </cell>
        </row>
        <row r="283">
          <cell r="A283">
            <v>568</v>
          </cell>
          <cell r="B283" t="str">
            <v>MFE 25N-6P-13K+EM</v>
          </cell>
        </row>
        <row r="284">
          <cell r="A284">
            <v>644</v>
          </cell>
          <cell r="B284" t="str">
            <v>MFE 25N-8P-16K+EM</v>
          </cell>
        </row>
        <row r="285">
          <cell r="A285">
            <v>647</v>
          </cell>
          <cell r="B285" t="str">
            <v>MFE 25N-8P-16K+EM</v>
          </cell>
        </row>
        <row r="286">
          <cell r="A286">
            <v>594</v>
          </cell>
          <cell r="B286" t="str">
            <v>MFE 26N-11P-6K+EM</v>
          </cell>
        </row>
        <row r="287">
          <cell r="A287">
            <v>582</v>
          </cell>
          <cell r="B287" t="str">
            <v>MFE 26N-20K-4S</v>
          </cell>
        </row>
        <row r="288">
          <cell r="A288">
            <v>627</v>
          </cell>
          <cell r="B288" t="str">
            <v>MFE 26N-2P-9K-2Ca</v>
          </cell>
        </row>
        <row r="289">
          <cell r="A289">
            <v>431</v>
          </cell>
          <cell r="B289" t="str">
            <v>MFE 26N-6P-2K+EM</v>
          </cell>
        </row>
        <row r="290">
          <cell r="A290">
            <v>546</v>
          </cell>
          <cell r="B290" t="str">
            <v>MFE 26N-6P-2K+EM</v>
          </cell>
        </row>
        <row r="291">
          <cell r="A291">
            <v>682</v>
          </cell>
          <cell r="B291" t="str">
            <v>MFE 26N-7P-0K+EM</v>
          </cell>
        </row>
        <row r="292">
          <cell r="A292">
            <v>625</v>
          </cell>
          <cell r="B292" t="str">
            <v>MFE 27N-18K-5S</v>
          </cell>
        </row>
        <row r="293">
          <cell r="A293">
            <v>672</v>
          </cell>
          <cell r="B293" t="str">
            <v>MFE 27N-20P-0K+EM</v>
          </cell>
        </row>
        <row r="294">
          <cell r="A294">
            <v>539</v>
          </cell>
          <cell r="B294" t="str">
            <v>MFE 27N-5P-11K+EM</v>
          </cell>
        </row>
        <row r="295">
          <cell r="A295">
            <v>610</v>
          </cell>
          <cell r="B295" t="str">
            <v>MFE 27N-8P-9K+EM KILO</v>
          </cell>
        </row>
        <row r="296">
          <cell r="A296">
            <v>621</v>
          </cell>
          <cell r="B296" t="str">
            <v>MFE 28N 24K</v>
          </cell>
        </row>
        <row r="297">
          <cell r="A297">
            <v>600</v>
          </cell>
          <cell r="B297" t="str">
            <v>MFE 28N-14P-6K+EM</v>
          </cell>
        </row>
        <row r="298">
          <cell r="A298">
            <v>657</v>
          </cell>
          <cell r="B298" t="str">
            <v>MFE 28N-4P-9K+EM</v>
          </cell>
        </row>
        <row r="299">
          <cell r="A299">
            <v>592</v>
          </cell>
          <cell r="B299" t="str">
            <v>MFE 28N-5P-0K+EM</v>
          </cell>
        </row>
        <row r="300">
          <cell r="A300">
            <v>548</v>
          </cell>
          <cell r="B300" t="str">
            <v>MFE 28N-5P-15K+EM</v>
          </cell>
        </row>
        <row r="301">
          <cell r="A301">
            <v>609</v>
          </cell>
          <cell r="B301" t="str">
            <v>MFE 28N-5P-9K+EM</v>
          </cell>
        </row>
        <row r="302">
          <cell r="A302">
            <v>608</v>
          </cell>
          <cell r="B302" t="str">
            <v>MFE 29N 10P 6K + EM</v>
          </cell>
        </row>
        <row r="303">
          <cell r="A303">
            <v>428</v>
          </cell>
          <cell r="B303" t="str">
            <v>MFE 29N-15P-5K+EM</v>
          </cell>
        </row>
        <row r="304">
          <cell r="A304">
            <v>607</v>
          </cell>
          <cell r="B304" t="str">
            <v>MFE 29N-1P-11K+EM</v>
          </cell>
        </row>
        <row r="305">
          <cell r="A305">
            <v>683</v>
          </cell>
          <cell r="B305" t="str">
            <v>MFE 29N-6P-12K+EM</v>
          </cell>
        </row>
        <row r="306">
          <cell r="A306">
            <v>840</v>
          </cell>
          <cell r="B306" t="str">
            <v>MFE 30N-0P-20K</v>
          </cell>
        </row>
        <row r="307">
          <cell r="A307">
            <v>598</v>
          </cell>
          <cell r="B307" t="str">
            <v>MFE 30N-11P-6K+EM</v>
          </cell>
        </row>
        <row r="308">
          <cell r="A308">
            <v>465</v>
          </cell>
          <cell r="B308" t="str">
            <v>MFE 30N-8P-0K-5CA+EM</v>
          </cell>
        </row>
        <row r="309">
          <cell r="A309">
            <v>676</v>
          </cell>
          <cell r="B309" t="str">
            <v>MFE 30N-9P-0K+EM</v>
          </cell>
        </row>
        <row r="310">
          <cell r="A310">
            <v>671</v>
          </cell>
          <cell r="B310" t="str">
            <v>MFE 31N-5P-0K+EM</v>
          </cell>
        </row>
        <row r="311">
          <cell r="A311">
            <v>597</v>
          </cell>
          <cell r="B311" t="str">
            <v>MFE 31N-6P-7K+EM</v>
          </cell>
        </row>
        <row r="312">
          <cell r="A312">
            <v>581</v>
          </cell>
          <cell r="B312" t="str">
            <v>MFE 31N-7K-9S</v>
          </cell>
        </row>
        <row r="313">
          <cell r="A313">
            <v>599</v>
          </cell>
          <cell r="B313" t="str">
            <v>MFE 33N-6P-6K+EM</v>
          </cell>
        </row>
        <row r="314">
          <cell r="A314">
            <v>666</v>
          </cell>
          <cell r="B314" t="str">
            <v>MFE 4N-9P-0K+ EM</v>
          </cell>
        </row>
        <row r="315">
          <cell r="A315">
            <v>622</v>
          </cell>
          <cell r="B315" t="str">
            <v>MFE 5N-8P-29K+EM</v>
          </cell>
        </row>
        <row r="316">
          <cell r="A316">
            <v>603</v>
          </cell>
          <cell r="B316" t="str">
            <v>MFE 6N-6P-33K+EM</v>
          </cell>
        </row>
        <row r="317">
          <cell r="A317">
            <v>661</v>
          </cell>
          <cell r="B317" t="str">
            <v>MFE 7N-8P-30K+EM</v>
          </cell>
        </row>
        <row r="318">
          <cell r="A318">
            <v>551</v>
          </cell>
          <cell r="B318" t="str">
            <v>MFE 8N-6P-24K+EM</v>
          </cell>
        </row>
        <row r="319">
          <cell r="A319">
            <v>164</v>
          </cell>
          <cell r="B319" t="str">
            <v>MICRON C</v>
          </cell>
        </row>
        <row r="320">
          <cell r="A320">
            <v>188</v>
          </cell>
          <cell r="B320" t="str">
            <v>MICRON CS</v>
          </cell>
        </row>
        <row r="321">
          <cell r="A321">
            <v>178</v>
          </cell>
          <cell r="B321" t="str">
            <v>MKP</v>
          </cell>
        </row>
        <row r="322">
          <cell r="A322">
            <v>354</v>
          </cell>
          <cell r="B322" t="str">
            <v>NITRABOR</v>
          </cell>
        </row>
        <row r="323">
          <cell r="A323">
            <v>65</v>
          </cell>
          <cell r="B323" t="str">
            <v>NUCLEO 4</v>
          </cell>
        </row>
        <row r="324">
          <cell r="A324">
            <v>62</v>
          </cell>
          <cell r="B324" t="str">
            <v>NUCLEO CAMASI GRIS</v>
          </cell>
        </row>
        <row r="325">
          <cell r="A325">
            <v>452</v>
          </cell>
          <cell r="B325" t="str">
            <v>NUCLEO CAMASI ROJO</v>
          </cell>
        </row>
        <row r="326">
          <cell r="A326">
            <v>563</v>
          </cell>
          <cell r="B326" t="str">
            <v>NUCLEO CAMASI YARA</v>
          </cell>
        </row>
        <row r="327">
          <cell r="A327">
            <v>140</v>
          </cell>
          <cell r="B327" t="str">
            <v>NUCLEO FERCON</v>
          </cell>
        </row>
        <row r="328">
          <cell r="A328">
            <v>365</v>
          </cell>
          <cell r="B328" t="str">
            <v>NUCLEO FOSFORO</v>
          </cell>
        </row>
        <row r="329">
          <cell r="A329">
            <v>574</v>
          </cell>
          <cell r="B329" t="str">
            <v>NUCLEO FOSFORO 1</v>
          </cell>
        </row>
        <row r="330">
          <cell r="A330">
            <v>679</v>
          </cell>
          <cell r="B330" t="str">
            <v>NUCLEO FOSFORO 10</v>
          </cell>
        </row>
        <row r="331">
          <cell r="A331">
            <v>575</v>
          </cell>
          <cell r="B331" t="str">
            <v>NUCLEO FOSFORO 2</v>
          </cell>
        </row>
        <row r="332">
          <cell r="A332">
            <v>302</v>
          </cell>
          <cell r="B332" t="str">
            <v>NUCLEO HIERRO</v>
          </cell>
        </row>
        <row r="333">
          <cell r="A333">
            <v>208</v>
          </cell>
          <cell r="B333" t="str">
            <v>NUCLEO MAGNESIO</v>
          </cell>
        </row>
        <row r="334">
          <cell r="A334">
            <v>803</v>
          </cell>
          <cell r="B334" t="str">
            <v>NUCLEO MAGNESIO-S</v>
          </cell>
        </row>
        <row r="335">
          <cell r="A335">
            <v>804</v>
          </cell>
          <cell r="B335" t="str">
            <v>NUCLEO MAGNESIO-S EM</v>
          </cell>
        </row>
        <row r="336">
          <cell r="A336">
            <v>604</v>
          </cell>
          <cell r="B336" t="str">
            <v>NUCLEO MAGNESIO-SILICIO</v>
          </cell>
        </row>
        <row r="337">
          <cell r="A337">
            <v>558</v>
          </cell>
          <cell r="B337" t="str">
            <v>NUCLEO MAGNESIO-SILICIO EM</v>
          </cell>
        </row>
        <row r="338">
          <cell r="A338">
            <v>579</v>
          </cell>
          <cell r="B338" t="str">
            <v>NUCLEO MANGANESO</v>
          </cell>
        </row>
        <row r="339">
          <cell r="A339">
            <v>61</v>
          </cell>
          <cell r="B339" t="str">
            <v>NUCLEO MENORES</v>
          </cell>
        </row>
        <row r="340">
          <cell r="A340">
            <v>611</v>
          </cell>
          <cell r="B340" t="str">
            <v>NUCLEO N</v>
          </cell>
        </row>
        <row r="341">
          <cell r="A341">
            <v>57</v>
          </cell>
          <cell r="B341" t="str">
            <v>OXIDO MAGNESIO</v>
          </cell>
        </row>
        <row r="342">
          <cell r="A342">
            <v>56</v>
          </cell>
          <cell r="B342" t="str">
            <v>OXIDO ZINC</v>
          </cell>
        </row>
        <row r="343">
          <cell r="A343">
            <v>55</v>
          </cell>
          <cell r="B343" t="str">
            <v>OXIDO ZINC 70</v>
          </cell>
        </row>
        <row r="344">
          <cell r="A344">
            <v>349</v>
          </cell>
          <cell r="B344" t="str">
            <v>PANTEKALI</v>
          </cell>
        </row>
        <row r="345">
          <cell r="A345">
            <v>349</v>
          </cell>
          <cell r="B345" t="str">
            <v>PANTEKALI</v>
          </cell>
        </row>
        <row r="346">
          <cell r="A346">
            <v>53</v>
          </cell>
          <cell r="B346" t="str">
            <v>POLVILLO BORO</v>
          </cell>
        </row>
        <row r="347">
          <cell r="A347">
            <v>294</v>
          </cell>
          <cell r="B347" t="str">
            <v>POLVILLO CALFERZINC P</v>
          </cell>
        </row>
        <row r="348">
          <cell r="A348">
            <v>403</v>
          </cell>
          <cell r="B348" t="str">
            <v>POLVILLO FERTIMENORES</v>
          </cell>
        </row>
        <row r="349">
          <cell r="A349">
            <v>684</v>
          </cell>
          <cell r="B349" t="str">
            <v>POLVILLO FOSFORO 10</v>
          </cell>
        </row>
        <row r="350">
          <cell r="A350">
            <v>637</v>
          </cell>
          <cell r="B350" t="str">
            <v>POLVILLO FOSFORO ESPECIAL</v>
          </cell>
        </row>
        <row r="351">
          <cell r="A351">
            <v>47</v>
          </cell>
          <cell r="B351" t="str">
            <v>POLVILLO K2K</v>
          </cell>
        </row>
        <row r="352">
          <cell r="A352">
            <v>470</v>
          </cell>
          <cell r="B352" t="str">
            <v>POLVILLO KCL GRANULADO</v>
          </cell>
        </row>
        <row r="353">
          <cell r="A353">
            <v>295</v>
          </cell>
          <cell r="B353" t="str">
            <v>POLVILLO MAGNE 3</v>
          </cell>
        </row>
        <row r="354">
          <cell r="A354">
            <v>229</v>
          </cell>
          <cell r="B354" t="str">
            <v>POLVILLO MAGNE 6</v>
          </cell>
        </row>
        <row r="355">
          <cell r="A355">
            <v>230</v>
          </cell>
          <cell r="B355" t="str">
            <v>POLVILLO MAGNESIO</v>
          </cell>
        </row>
        <row r="356">
          <cell r="A356">
            <v>613</v>
          </cell>
          <cell r="B356" t="str">
            <v>POLVILLO MANGANESO</v>
          </cell>
        </row>
        <row r="357">
          <cell r="A357">
            <v>51</v>
          </cell>
          <cell r="B357" t="str">
            <v>POLVILLO MENORES</v>
          </cell>
        </row>
        <row r="358">
          <cell r="A358">
            <v>287</v>
          </cell>
          <cell r="B358" t="str">
            <v>POLVILLO NUCLEO 4</v>
          </cell>
        </row>
        <row r="359">
          <cell r="A359">
            <v>50</v>
          </cell>
          <cell r="B359" t="str">
            <v>POLVILLO NUCLEO CAMASI</v>
          </cell>
        </row>
        <row r="360">
          <cell r="A360">
            <v>636</v>
          </cell>
          <cell r="B360" t="str">
            <v>POLVILLO NUCLEO CAMASI ROJO</v>
          </cell>
        </row>
        <row r="361">
          <cell r="A361">
            <v>534</v>
          </cell>
          <cell r="B361" t="str">
            <v>POLVILLO NUCLEO CAMASI YARA</v>
          </cell>
        </row>
        <row r="362">
          <cell r="A362">
            <v>685</v>
          </cell>
          <cell r="B362" t="str">
            <v>POLVILLO NUCLEO SILICIO-MAGNESIO</v>
          </cell>
        </row>
        <row r="363">
          <cell r="A363">
            <v>366</v>
          </cell>
          <cell r="B363" t="str">
            <v>POLVILLO RAIFOS</v>
          </cell>
        </row>
        <row r="364">
          <cell r="A364">
            <v>638</v>
          </cell>
          <cell r="B364" t="str">
            <v>POLVILLO SAM GRANULADO</v>
          </cell>
        </row>
        <row r="365">
          <cell r="A365">
            <v>421</v>
          </cell>
          <cell r="B365" t="str">
            <v>POLVILLO SILIMAGRAM</v>
          </cell>
        </row>
        <row r="366">
          <cell r="A366">
            <v>49</v>
          </cell>
          <cell r="B366" t="str">
            <v>POLVILLO SULFATO DE CALCIO</v>
          </cell>
        </row>
        <row r="367">
          <cell r="A367">
            <v>368</v>
          </cell>
          <cell r="B367" t="str">
            <v>POLVILLO ZUELO Ca</v>
          </cell>
        </row>
        <row r="368">
          <cell r="A368">
            <v>155</v>
          </cell>
          <cell r="B368" t="str">
            <v>RAIFOS 20</v>
          </cell>
        </row>
        <row r="369">
          <cell r="A369">
            <v>31</v>
          </cell>
          <cell r="B369" t="str">
            <v>ROCA FOSFÓRICA</v>
          </cell>
        </row>
        <row r="370">
          <cell r="A370">
            <v>832</v>
          </cell>
          <cell r="B370" t="str">
            <v>ROCA FOSFORICA-24</v>
          </cell>
        </row>
        <row r="371">
          <cell r="A371">
            <v>290</v>
          </cell>
          <cell r="B371" t="str">
            <v>ROCA FOSFORICA-26</v>
          </cell>
        </row>
        <row r="372">
          <cell r="A372">
            <v>34</v>
          </cell>
          <cell r="B372" t="str">
            <v>ROCA FOSFÓRICA-28</v>
          </cell>
        </row>
        <row r="373">
          <cell r="A373">
            <v>681</v>
          </cell>
          <cell r="B373" t="str">
            <v>ROCA FOSFORICA-30</v>
          </cell>
        </row>
        <row r="374">
          <cell r="A374">
            <v>32</v>
          </cell>
          <cell r="B374" t="str">
            <v>SAM</v>
          </cell>
        </row>
        <row r="375">
          <cell r="A375">
            <v>32</v>
          </cell>
          <cell r="B375" t="str">
            <v>SAM</v>
          </cell>
        </row>
        <row r="376">
          <cell r="A376">
            <v>32</v>
          </cell>
          <cell r="B376" t="str">
            <v>SAM</v>
          </cell>
        </row>
        <row r="377">
          <cell r="A377">
            <v>32</v>
          </cell>
          <cell r="B377" t="str">
            <v>SAM</v>
          </cell>
        </row>
        <row r="378">
          <cell r="A378">
            <v>40</v>
          </cell>
          <cell r="B378" t="str">
            <v>SAM STD</v>
          </cell>
        </row>
        <row r="379">
          <cell r="A379">
            <v>171</v>
          </cell>
          <cell r="B379" t="str">
            <v>SILICATO HIERRO</v>
          </cell>
        </row>
        <row r="380">
          <cell r="A380">
            <v>274</v>
          </cell>
          <cell r="B380" t="str">
            <v>SILICATO MAGNESIO</v>
          </cell>
        </row>
        <row r="381">
          <cell r="A381">
            <v>37</v>
          </cell>
          <cell r="B381" t="str">
            <v>SILICATO SODIO</v>
          </cell>
        </row>
        <row r="382">
          <cell r="A382">
            <v>35</v>
          </cell>
          <cell r="B382" t="str">
            <v>SILIMAGRAN</v>
          </cell>
        </row>
        <row r="383">
          <cell r="A383">
            <v>5</v>
          </cell>
          <cell r="B383" t="str">
            <v>SULFATO CALCIO</v>
          </cell>
        </row>
        <row r="384">
          <cell r="A384">
            <v>505</v>
          </cell>
          <cell r="B384" t="str">
            <v>SULFATO CALCIO SUCROAL</v>
          </cell>
        </row>
        <row r="385">
          <cell r="A385">
            <v>831</v>
          </cell>
          <cell r="B385" t="str">
            <v>SULFATO COBRE</v>
          </cell>
        </row>
        <row r="386">
          <cell r="A386">
            <v>30</v>
          </cell>
          <cell r="B386" t="str">
            <v>SULFATO COBRE 22</v>
          </cell>
        </row>
        <row r="387">
          <cell r="A387">
            <v>173</v>
          </cell>
          <cell r="B387" t="str">
            <v>SULFATO COBRE 25</v>
          </cell>
        </row>
        <row r="388">
          <cell r="A388">
            <v>28</v>
          </cell>
          <cell r="B388" t="str">
            <v>SULFATO HIERRO</v>
          </cell>
        </row>
        <row r="389">
          <cell r="A389">
            <v>425</v>
          </cell>
          <cell r="B389" t="str">
            <v>SULFATO MANGANESO</v>
          </cell>
        </row>
        <row r="390">
          <cell r="A390">
            <v>197</v>
          </cell>
          <cell r="B390" t="str">
            <v>SULFATO POTASIO</v>
          </cell>
        </row>
        <row r="391">
          <cell r="A391">
            <v>167</v>
          </cell>
          <cell r="B391" t="str">
            <v>SULFATO POTASIO</v>
          </cell>
        </row>
        <row r="392">
          <cell r="A392">
            <v>997</v>
          </cell>
          <cell r="B392" t="str">
            <v>SULFATO ZINC 22</v>
          </cell>
        </row>
        <row r="393">
          <cell r="A393">
            <v>21</v>
          </cell>
          <cell r="B393" t="str">
            <v>SULFATO ZINC 22 MP</v>
          </cell>
        </row>
        <row r="394">
          <cell r="A394">
            <v>227</v>
          </cell>
          <cell r="B394" t="str">
            <v>SULFATO ZINC 32</v>
          </cell>
        </row>
        <row r="395">
          <cell r="A395">
            <v>23</v>
          </cell>
          <cell r="B395" t="str">
            <v>SULFATO ZINC 35</v>
          </cell>
        </row>
        <row r="396">
          <cell r="A396">
            <v>323</v>
          </cell>
          <cell r="B396" t="str">
            <v>SULFATO ZINC 38</v>
          </cell>
        </row>
        <row r="397">
          <cell r="A397">
            <v>16</v>
          </cell>
          <cell r="B397" t="str">
            <v>ULEXITA</v>
          </cell>
        </row>
        <row r="398">
          <cell r="A398">
            <v>16</v>
          </cell>
          <cell r="B398" t="str">
            <v>ULEXITA</v>
          </cell>
        </row>
        <row r="399">
          <cell r="A399">
            <v>12</v>
          </cell>
          <cell r="B399" t="str">
            <v>UREA</v>
          </cell>
        </row>
        <row r="400">
          <cell r="A400">
            <v>12</v>
          </cell>
          <cell r="B400" t="str">
            <v>UREA</v>
          </cell>
        </row>
        <row r="401">
          <cell r="A401">
            <v>12</v>
          </cell>
          <cell r="B401" t="str">
            <v>UREA</v>
          </cell>
        </row>
        <row r="402">
          <cell r="A402">
            <v>12</v>
          </cell>
          <cell r="B402" t="str">
            <v>UREA</v>
          </cell>
        </row>
        <row r="403">
          <cell r="A403">
            <v>214</v>
          </cell>
          <cell r="B403" t="str">
            <v>VINAZA</v>
          </cell>
        </row>
        <row r="404">
          <cell r="A404">
            <v>214</v>
          </cell>
          <cell r="B404" t="str">
            <v>VINAZA</v>
          </cell>
        </row>
        <row r="405">
          <cell r="A405">
            <v>160</v>
          </cell>
          <cell r="B405" t="str">
            <v>ZUELO CA</v>
          </cell>
        </row>
        <row r="406">
          <cell r="A406">
            <v>144</v>
          </cell>
          <cell r="B406" t="str">
            <v xml:space="preserve">KCL </v>
          </cell>
        </row>
        <row r="407">
          <cell r="A407">
            <v>12</v>
          </cell>
          <cell r="B407" t="str">
            <v>UREA</v>
          </cell>
        </row>
        <row r="408">
          <cell r="A408">
            <v>111</v>
          </cell>
          <cell r="B408" t="str">
            <v>BENTONITA ROJA</v>
          </cell>
        </row>
        <row r="409">
          <cell r="A409">
            <v>16</v>
          </cell>
          <cell r="B409" t="str">
            <v>ULEXITA</v>
          </cell>
        </row>
        <row r="410">
          <cell r="A410">
            <v>12</v>
          </cell>
          <cell r="B410" t="str">
            <v>UREA GR</v>
          </cell>
        </row>
        <row r="411">
          <cell r="A411">
            <v>23</v>
          </cell>
          <cell r="B411" t="str">
            <v>SULFATO DE ZINC 35%</v>
          </cell>
        </row>
        <row r="412">
          <cell r="A412">
            <v>1183</v>
          </cell>
          <cell r="B412" t="str">
            <v>MFE 12-12-22 + EM</v>
          </cell>
        </row>
        <row r="413">
          <cell r="A413">
            <v>12</v>
          </cell>
          <cell r="B413" t="str">
            <v>UREA</v>
          </cell>
        </row>
        <row r="414">
          <cell r="A414">
            <v>144</v>
          </cell>
          <cell r="B414" t="str">
            <v>KCL GR</v>
          </cell>
        </row>
        <row r="415">
          <cell r="A415">
            <v>144</v>
          </cell>
          <cell r="B415" t="str">
            <v>kcl gr</v>
          </cell>
        </row>
        <row r="416">
          <cell r="A416">
            <v>1204</v>
          </cell>
          <cell r="B416" t="str">
            <v>BASE 1</v>
          </cell>
        </row>
        <row r="417">
          <cell r="A417">
            <v>75</v>
          </cell>
          <cell r="B417" t="str">
            <v>KIESERITA GR</v>
          </cell>
        </row>
        <row r="418">
          <cell r="A418">
            <v>1211</v>
          </cell>
          <cell r="B418" t="str">
            <v xml:space="preserve"> MFE 11N-13P-0K-15Ca-3Mgo4s</v>
          </cell>
        </row>
        <row r="419">
          <cell r="A419">
            <v>1210</v>
          </cell>
          <cell r="B419" t="str">
            <v>MFE 13N-4P-24K+EM</v>
          </cell>
        </row>
        <row r="420">
          <cell r="A420">
            <v>75</v>
          </cell>
          <cell r="B420" t="str">
            <v>KIESERITA GR</v>
          </cell>
        </row>
        <row r="421">
          <cell r="A421">
            <v>1213</v>
          </cell>
          <cell r="B421" t="str">
            <v>MFE 24N-2P-14K-3Ca+EM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v_verificador"/>
      <sheetName val="prov_formulador"/>
      <sheetName val="ListaPF"/>
      <sheetName val="ListaMP"/>
      <sheetName val="verificador"/>
      <sheetName val="formulador"/>
      <sheetName val="tolerancias"/>
      <sheetName val="Registro"/>
      <sheetName val="fig_tolerancia"/>
      <sheetName val="TOLERANCIAS_TAB"/>
      <sheetName val="TABLA_VERT"/>
      <sheetName val="TABLA"/>
      <sheetName val="memcal_tolerancia"/>
      <sheetName val="memcal_formulador"/>
      <sheetName val="memcal_verificador"/>
      <sheetName val="OP0121_82230525"/>
      <sheetName val="OP0134_65270525"/>
      <sheetName val="OP0133_679270525"/>
      <sheetName val="OP0132_62260525"/>
      <sheetName val="OP0130_82260525"/>
      <sheetName val="OP0123_65260525"/>
      <sheetName val="OP0129_670240525"/>
      <sheetName val="OP0128_588240525"/>
      <sheetName val="OP0127_592240525"/>
      <sheetName val="registro_verif"/>
      <sheetName val="OP0126_587240525"/>
      <sheetName val="OP0125_82240525"/>
      <sheetName val="OP0124_141240525"/>
      <sheetName val="OP0123_65240525"/>
      <sheetName val="OP0122_563240525"/>
      <sheetName val="OP0120_56330525"/>
      <sheetName val="OP0119_62230525"/>
      <sheetName val="OP0118_604230525"/>
      <sheetName val="143_84290525"/>
      <sheetName val="142_65290525"/>
      <sheetName val="141_679290525"/>
      <sheetName val="147_82310525"/>
      <sheetName val="148_65310525"/>
      <sheetName val="149_604310525"/>
      <sheetName val="150_604310525"/>
      <sheetName val="151_452030625"/>
      <sheetName val="152_82030625"/>
    </sheetNames>
    <sheetDataSet>
      <sheetData sheetId="0"/>
      <sheetData sheetId="1"/>
      <sheetData sheetId="2"/>
      <sheetData sheetId="3">
        <row r="1">
          <cell r="F1" t="str">
            <v>NOMBRE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8BC8-97BA-4424-A8A0-5301C57B1854}">
  <sheetPr codeName="Hoja2"/>
  <dimension ref="A1:V1006"/>
  <sheetViews>
    <sheetView showGridLines="0" tabSelected="1" workbookViewId="0">
      <selection activeCell="D7" sqref="D7:G7"/>
    </sheetView>
  </sheetViews>
  <sheetFormatPr baseColWidth="10" defaultColWidth="14.42578125" defaultRowHeight="15" customHeight="1"/>
  <cols>
    <col min="1" max="1" width="5" style="15" customWidth="1"/>
    <col min="2" max="2" width="7" style="15" customWidth="1"/>
    <col min="3" max="3" width="13.5703125" style="15" customWidth="1"/>
    <col min="4" max="4" width="2.28515625" style="15" customWidth="1"/>
    <col min="5" max="5" width="13.28515625" style="15" customWidth="1"/>
    <col min="6" max="6" width="4.7109375" style="15" customWidth="1"/>
    <col min="7" max="7" width="12.7109375" style="15" customWidth="1"/>
    <col min="8" max="8" width="1.42578125" style="15" customWidth="1"/>
    <col min="9" max="9" width="7" style="15" customWidth="1"/>
    <col min="10" max="10" width="8.140625" style="15" customWidth="1"/>
    <col min="11" max="11" width="7.85546875" style="15" customWidth="1"/>
    <col min="12" max="12" width="5.85546875" style="15" customWidth="1"/>
    <col min="13" max="13" width="5.42578125" style="15" bestFit="1" customWidth="1"/>
    <col min="14" max="14" width="29.28515625" style="15" customWidth="1"/>
    <col min="15" max="22" width="7.140625" style="15" customWidth="1"/>
    <col min="23" max="16384" width="14.42578125" style="15"/>
  </cols>
  <sheetData>
    <row r="1" spans="1:22" ht="16.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6"/>
      <c r="K1" s="7" t="s">
        <v>1</v>
      </c>
      <c r="L1" s="8"/>
      <c r="M1" s="9"/>
      <c r="N1" s="10"/>
      <c r="O1" s="11" t="s">
        <v>2</v>
      </c>
      <c r="P1" s="12"/>
      <c r="Q1" s="12"/>
      <c r="R1" s="12"/>
      <c r="S1" s="12"/>
      <c r="T1" s="12"/>
      <c r="U1" s="13"/>
      <c r="V1" s="14" t="s">
        <v>1</v>
      </c>
    </row>
    <row r="2" spans="1:22" ht="16.5" customHeight="1">
      <c r="A2" s="16"/>
      <c r="B2" s="17"/>
      <c r="C2" s="18"/>
      <c r="D2" s="19"/>
      <c r="E2" s="19"/>
      <c r="F2" s="19"/>
      <c r="G2" s="19"/>
      <c r="H2" s="19"/>
      <c r="I2" s="19"/>
      <c r="J2" s="20"/>
      <c r="K2" s="21" t="s">
        <v>3</v>
      </c>
      <c r="L2" s="8"/>
      <c r="M2" s="22"/>
      <c r="N2" s="17"/>
      <c r="O2" s="23"/>
      <c r="P2" s="24"/>
      <c r="Q2" s="24"/>
      <c r="R2" s="24"/>
      <c r="S2" s="24"/>
      <c r="T2" s="24"/>
      <c r="U2" s="25"/>
      <c r="V2" s="26" t="s">
        <v>3</v>
      </c>
    </row>
    <row r="3" spans="1:22" ht="16.5" customHeight="1">
      <c r="A3" s="27"/>
      <c r="B3" s="28"/>
      <c r="C3" s="29"/>
      <c r="D3" s="30" t="s">
        <v>4</v>
      </c>
      <c r="E3" s="31"/>
      <c r="F3" s="31"/>
      <c r="G3" s="32" t="s">
        <v>5</v>
      </c>
      <c r="H3" s="31"/>
      <c r="I3" s="31"/>
      <c r="J3" s="31"/>
      <c r="K3" s="33"/>
      <c r="L3" s="8"/>
      <c r="M3" s="34"/>
      <c r="N3" s="28"/>
      <c r="O3" s="35" t="s">
        <v>4</v>
      </c>
      <c r="P3" s="36"/>
      <c r="Q3" s="37"/>
      <c r="R3" s="38"/>
      <c r="S3" s="39" t="s">
        <v>5</v>
      </c>
      <c r="T3" s="39"/>
      <c r="U3" s="39"/>
      <c r="V3" s="40"/>
    </row>
    <row r="4" spans="1:22" ht="12.75" customHeight="1" thickBot="1">
      <c r="A4" s="8"/>
      <c r="B4" s="17"/>
      <c r="C4" s="8"/>
      <c r="D4" s="8"/>
      <c r="E4" s="8"/>
      <c r="F4" s="8"/>
      <c r="G4" s="8"/>
      <c r="H4" s="8"/>
      <c r="I4" s="8"/>
      <c r="J4" s="8"/>
      <c r="K4" s="8"/>
      <c r="L4" s="8"/>
      <c r="M4" s="22"/>
      <c r="N4" s="8"/>
      <c r="O4" s="8"/>
      <c r="P4" s="8"/>
      <c r="Q4" s="8"/>
      <c r="R4" s="8"/>
      <c r="S4" s="8"/>
      <c r="T4" s="8"/>
      <c r="U4" s="8"/>
      <c r="V4" s="41"/>
    </row>
    <row r="5" spans="1:22" ht="15" customHeight="1" thickTop="1">
      <c r="A5" s="42" t="s">
        <v>6</v>
      </c>
      <c r="B5" s="43"/>
      <c r="C5" s="44">
        <v>1213</v>
      </c>
      <c r="D5" s="44"/>
      <c r="E5" s="44"/>
      <c r="F5" s="44"/>
      <c r="G5" s="44"/>
      <c r="H5" s="45"/>
      <c r="I5" s="46" t="s">
        <v>7</v>
      </c>
      <c r="J5" s="47"/>
      <c r="K5" s="48"/>
      <c r="L5" s="8"/>
      <c r="M5" s="49" t="s">
        <v>6</v>
      </c>
      <c r="N5" s="43"/>
      <c r="O5" s="44">
        <f>C5</f>
        <v>1213</v>
      </c>
      <c r="P5" s="44"/>
      <c r="Q5" s="44"/>
      <c r="R5" s="44"/>
      <c r="S5" s="44"/>
      <c r="T5" s="46" t="s">
        <v>7</v>
      </c>
      <c r="U5" s="47"/>
      <c r="V5" s="50"/>
    </row>
    <row r="6" spans="1:22" ht="15" customHeight="1">
      <c r="A6" s="42" t="s">
        <v>8</v>
      </c>
      <c r="B6" s="43"/>
      <c r="C6" s="44" t="str">
        <f>IF(C5="","",_xlfn.XLOOKUP(C5,[1]LISTADO!A:A,[1]LISTADO!B:B,))</f>
        <v>MFE 24N-2P-14K-3Ca+EM</v>
      </c>
      <c r="D6" s="44"/>
      <c r="E6" s="44"/>
      <c r="F6" s="44"/>
      <c r="G6" s="44"/>
      <c r="H6" s="45"/>
      <c r="I6" s="51"/>
      <c r="J6" s="52"/>
      <c r="K6" s="53"/>
      <c r="L6" s="8"/>
      <c r="M6" s="49" t="s">
        <v>8</v>
      </c>
      <c r="N6" s="43"/>
      <c r="O6" s="44" t="str">
        <f>C6</f>
        <v>MFE 24N-2P-14K-3Ca+EM</v>
      </c>
      <c r="P6" s="44"/>
      <c r="Q6" s="44"/>
      <c r="R6" s="44"/>
      <c r="S6" s="44"/>
      <c r="T6" s="51"/>
      <c r="U6" s="52"/>
      <c r="V6" s="54"/>
    </row>
    <row r="7" spans="1:22" ht="13.5" customHeight="1">
      <c r="A7" s="42">
        <v>0</v>
      </c>
      <c r="B7" s="43"/>
      <c r="C7" s="43"/>
      <c r="D7" s="55" t="s">
        <v>9</v>
      </c>
      <c r="E7" s="56"/>
      <c r="F7" s="56"/>
      <c r="G7" s="56"/>
      <c r="H7" s="57"/>
      <c r="I7" s="58" t="s">
        <v>10</v>
      </c>
      <c r="J7" s="59"/>
      <c r="K7" s="60"/>
      <c r="L7" s="8"/>
      <c r="M7" s="49" t="s">
        <v>11</v>
      </c>
      <c r="N7" s="43"/>
      <c r="O7" s="61" t="str">
        <f>D7</f>
        <v>LISTA 0</v>
      </c>
      <c r="P7" s="44"/>
      <c r="Q7" s="44"/>
      <c r="R7" s="44"/>
      <c r="S7" s="44"/>
      <c r="T7" s="58" t="str">
        <f>I7</f>
        <v>OP0373</v>
      </c>
      <c r="U7" s="59"/>
      <c r="V7" s="62"/>
    </row>
    <row r="8" spans="1:22" ht="13.5" customHeight="1">
      <c r="A8" s="42" t="s">
        <v>12</v>
      </c>
      <c r="B8" s="43"/>
      <c r="C8" s="43"/>
      <c r="D8" s="63">
        <v>0.29166666666666669</v>
      </c>
      <c r="E8" s="56"/>
      <c r="F8" s="56"/>
      <c r="G8" s="56"/>
      <c r="H8" s="57"/>
      <c r="I8" s="58"/>
      <c r="J8" s="59"/>
      <c r="K8" s="60"/>
      <c r="L8" s="8"/>
      <c r="M8" s="49" t="s">
        <v>13</v>
      </c>
      <c r="N8" s="43"/>
      <c r="O8" s="44" t="str">
        <f>C10</f>
        <v>1213190825</v>
      </c>
      <c r="P8" s="44"/>
      <c r="Q8" s="44"/>
      <c r="R8" s="44"/>
      <c r="S8" s="44"/>
      <c r="T8" s="58"/>
      <c r="U8" s="59"/>
      <c r="V8" s="62"/>
    </row>
    <row r="9" spans="1:22" ht="12.75" customHeight="1">
      <c r="A9" s="42" t="s">
        <v>14</v>
      </c>
      <c r="B9" s="43"/>
      <c r="C9" s="43"/>
      <c r="D9" s="43"/>
      <c r="E9" s="64"/>
      <c r="F9" s="56"/>
      <c r="G9" s="56"/>
      <c r="H9" s="65"/>
      <c r="I9" s="66"/>
      <c r="J9" s="59"/>
      <c r="K9" s="60"/>
      <c r="L9" s="8"/>
      <c r="M9" s="49" t="s">
        <v>15</v>
      </c>
      <c r="N9" s="43"/>
      <c r="O9" s="44">
        <f>D12</f>
        <v>8500</v>
      </c>
      <c r="P9" s="44"/>
      <c r="Q9" s="44"/>
      <c r="R9" s="44"/>
      <c r="S9" s="44"/>
      <c r="T9" s="66"/>
      <c r="U9" s="59"/>
      <c r="V9" s="62"/>
    </row>
    <row r="10" spans="1:22" ht="12.75" customHeight="1">
      <c r="A10" s="42" t="s">
        <v>13</v>
      </c>
      <c r="B10" s="43"/>
      <c r="C10" s="44" t="str">
        <f>IF(J12="","",(C5&amp;RIGHT("0"&amp;MID(J12,1,2),2)&amp;RIGHT("0"&amp;MID(J12,4,2),2)&amp;RIGHT(MID(J12,7,4),2)))</f>
        <v>1213190825</v>
      </c>
      <c r="D10" s="67"/>
      <c r="E10" s="67"/>
      <c r="F10" s="67"/>
      <c r="G10" s="67"/>
      <c r="H10" s="65"/>
      <c r="I10" s="66"/>
      <c r="J10" s="59"/>
      <c r="K10" s="60"/>
      <c r="L10" s="8"/>
      <c r="T10" s="66"/>
      <c r="U10" s="59"/>
      <c r="V10" s="62"/>
    </row>
    <row r="11" spans="1:22" ht="13.5" customHeight="1" thickBot="1">
      <c r="A11" s="42" t="s">
        <v>16</v>
      </c>
      <c r="B11" s="43"/>
      <c r="C11" s="43"/>
      <c r="D11" s="63">
        <v>0.16666666666666666</v>
      </c>
      <c r="E11" s="56"/>
      <c r="F11" s="56"/>
      <c r="G11" s="56"/>
      <c r="H11" s="65"/>
      <c r="I11" s="68"/>
      <c r="J11" s="69"/>
      <c r="K11" s="70"/>
      <c r="L11" s="8"/>
      <c r="T11" s="68"/>
      <c r="U11" s="69"/>
      <c r="V11" s="71"/>
    </row>
    <row r="12" spans="1:22" ht="12.75" customHeight="1" thickTop="1" thickBot="1">
      <c r="A12" s="42" t="s">
        <v>15</v>
      </c>
      <c r="B12" s="43"/>
      <c r="C12" s="43"/>
      <c r="D12" s="64">
        <v>8500</v>
      </c>
      <c r="E12" s="56"/>
      <c r="F12" s="56"/>
      <c r="G12" s="56"/>
      <c r="H12" s="45"/>
      <c r="I12" s="72" t="s">
        <v>17</v>
      </c>
      <c r="J12" s="73" t="s">
        <v>18</v>
      </c>
      <c r="K12" s="74"/>
      <c r="L12" s="8"/>
      <c r="T12" s="72" t="str">
        <f>I12</f>
        <v>FECHA</v>
      </c>
      <c r="U12" s="73" t="str">
        <f>J12</f>
        <v>19-08-2025</v>
      </c>
      <c r="V12" s="74"/>
    </row>
    <row r="13" spans="1:22" ht="12.75" customHeight="1" thickTop="1">
      <c r="A13" s="8"/>
      <c r="B13" s="17"/>
      <c r="C13" s="8"/>
      <c r="D13" s="8"/>
      <c r="E13" s="75"/>
      <c r="F13" s="8"/>
      <c r="G13" s="8"/>
      <c r="H13" s="8"/>
      <c r="I13" s="75"/>
      <c r="J13" s="8"/>
      <c r="K13" s="8"/>
      <c r="L13" s="8"/>
      <c r="M13" s="22"/>
      <c r="N13" s="8"/>
      <c r="O13" s="8"/>
      <c r="P13" s="8"/>
      <c r="Q13" s="8"/>
      <c r="R13" s="8"/>
      <c r="S13" s="8"/>
      <c r="T13" s="8"/>
      <c r="U13" s="8"/>
      <c r="V13" s="41"/>
    </row>
    <row r="14" spans="1:22" ht="12.75" customHeight="1">
      <c r="A14" s="76" t="s">
        <v>19</v>
      </c>
      <c r="B14" s="77" t="s">
        <v>20</v>
      </c>
      <c r="C14" s="78"/>
      <c r="D14" s="78"/>
      <c r="E14" s="78"/>
      <c r="F14" s="79"/>
      <c r="G14" s="80" t="s">
        <v>21</v>
      </c>
      <c r="H14" s="81"/>
      <c r="I14" s="80" t="s">
        <v>22</v>
      </c>
      <c r="J14" s="81"/>
      <c r="K14" s="82" t="s">
        <v>23</v>
      </c>
      <c r="L14" s="8"/>
      <c r="M14" s="83" t="s">
        <v>19</v>
      </c>
      <c r="N14" s="76" t="s">
        <v>20</v>
      </c>
      <c r="O14" s="80" t="s">
        <v>24</v>
      </c>
      <c r="P14" s="84"/>
      <c r="Q14" s="80" t="s">
        <v>25</v>
      </c>
      <c r="R14" s="84"/>
      <c r="S14" s="80" t="s">
        <v>26</v>
      </c>
      <c r="T14" s="84"/>
      <c r="U14" s="80" t="s">
        <v>27</v>
      </c>
      <c r="V14" s="85"/>
    </row>
    <row r="15" spans="1:22" ht="12.75" customHeight="1">
      <c r="A15" s="86">
        <v>12</v>
      </c>
      <c r="B15" s="87" t="s">
        <v>28</v>
      </c>
      <c r="C15" s="88"/>
      <c r="D15" s="88"/>
      <c r="E15" s="88"/>
      <c r="F15" s="89"/>
      <c r="G15" s="90">
        <v>485</v>
      </c>
      <c r="H15" s="81"/>
      <c r="I15" s="90">
        <f>+G15*D12/1000</f>
        <v>4122.5</v>
      </c>
      <c r="J15" s="81"/>
      <c r="K15" s="91"/>
      <c r="L15" s="8"/>
      <c r="M15" s="92">
        <f>IF(A15="","",A15)</f>
        <v>12</v>
      </c>
      <c r="N15" s="92" t="str">
        <f>IF(B15="","",B15)</f>
        <v>CIAMSA - UREA - G</v>
      </c>
      <c r="O15" s="93">
        <v>45857</v>
      </c>
      <c r="P15" s="94"/>
      <c r="Q15" s="93"/>
      <c r="R15" s="94"/>
      <c r="S15" s="93"/>
      <c r="T15" s="94"/>
      <c r="U15" s="90"/>
      <c r="V15" s="95"/>
    </row>
    <row r="16" spans="1:22" ht="12.75" customHeight="1">
      <c r="A16" s="86">
        <v>32</v>
      </c>
      <c r="B16" s="87" t="s">
        <v>29</v>
      </c>
      <c r="C16" s="88"/>
      <c r="D16" s="88"/>
      <c r="E16" s="88"/>
      <c r="F16" s="89"/>
      <c r="G16" s="90">
        <v>75</v>
      </c>
      <c r="H16" s="81"/>
      <c r="I16" s="90">
        <f>+G16*D12/1000</f>
        <v>637.5</v>
      </c>
      <c r="J16" s="94"/>
      <c r="K16" s="91"/>
      <c r="L16" s="8"/>
      <c r="M16" s="92">
        <f t="shared" ref="M16:N24" si="0">IF(A16="","",A16)</f>
        <v>32</v>
      </c>
      <c r="N16" s="92" t="str">
        <f t="shared" si="0"/>
        <v>PRECISAGRO - SAM - G</v>
      </c>
      <c r="O16" s="93"/>
      <c r="P16" s="94"/>
      <c r="Q16" s="93"/>
      <c r="R16" s="94"/>
      <c r="S16" s="90"/>
      <c r="T16" s="94"/>
      <c r="U16" s="90"/>
      <c r="V16" s="95"/>
    </row>
    <row r="17" spans="1:22" ht="12.75" customHeight="1">
      <c r="A17" s="86">
        <v>65</v>
      </c>
      <c r="B17" s="87" t="s">
        <v>30</v>
      </c>
      <c r="C17" s="88"/>
      <c r="D17" s="88"/>
      <c r="E17" s="88"/>
      <c r="F17" s="89"/>
      <c r="G17" s="90">
        <v>90</v>
      </c>
      <c r="H17" s="81"/>
      <c r="I17" s="90">
        <f>+G17*D12/1000</f>
        <v>765</v>
      </c>
      <c r="J17" s="94"/>
      <c r="K17" s="91"/>
      <c r="L17" s="8"/>
      <c r="M17" s="92">
        <f t="shared" si="0"/>
        <v>65</v>
      </c>
      <c r="N17" s="92" t="str">
        <f t="shared" si="0"/>
        <v>CALFERQUIM - NUCLEO 4 - G</v>
      </c>
      <c r="O17" s="93">
        <v>45885</v>
      </c>
      <c r="P17" s="94"/>
      <c r="Q17" s="93"/>
      <c r="R17" s="94"/>
      <c r="S17" s="90"/>
      <c r="T17" s="94"/>
      <c r="U17" s="90"/>
      <c r="V17" s="95"/>
    </row>
    <row r="18" spans="1:22" ht="15.75" customHeight="1">
      <c r="A18" s="86">
        <v>72</v>
      </c>
      <c r="B18" s="87" t="s">
        <v>31</v>
      </c>
      <c r="C18" s="88"/>
      <c r="D18" s="88"/>
      <c r="E18" s="88"/>
      <c r="F18" s="89"/>
      <c r="G18" s="90">
        <v>20</v>
      </c>
      <c r="H18" s="81"/>
      <c r="I18" s="90">
        <f>+G18*D12/1000</f>
        <v>170</v>
      </c>
      <c r="J18" s="94"/>
      <c r="K18" s="91"/>
      <c r="L18" s="8"/>
      <c r="M18" s="92">
        <f t="shared" si="0"/>
        <v>72</v>
      </c>
      <c r="N18" s="92" t="str">
        <f t="shared" si="0"/>
        <v>EVOAGRO - MAP - G</v>
      </c>
      <c r="O18" s="93"/>
      <c r="P18" s="94"/>
      <c r="Q18" s="93"/>
      <c r="R18" s="94"/>
      <c r="S18" s="90"/>
      <c r="T18" s="94"/>
      <c r="U18" s="90"/>
      <c r="V18" s="95"/>
    </row>
    <row r="19" spans="1:22" ht="12.75" customHeight="1">
      <c r="A19" s="86">
        <v>123</v>
      </c>
      <c r="B19" s="87" t="s">
        <v>32</v>
      </c>
      <c r="C19" s="88"/>
      <c r="D19" s="88"/>
      <c r="E19" s="88"/>
      <c r="F19" s="89"/>
      <c r="G19" s="90">
        <v>20</v>
      </c>
      <c r="H19" s="81"/>
      <c r="I19" s="90">
        <f>+G19*D12/1000</f>
        <v>170</v>
      </c>
      <c r="J19" s="81"/>
      <c r="K19" s="91"/>
      <c r="L19" s="8"/>
      <c r="M19" s="92">
        <f t="shared" si="0"/>
        <v>123</v>
      </c>
      <c r="N19" s="92" t="str">
        <f t="shared" si="0"/>
        <v>CALFERQUIM - BORO G - G</v>
      </c>
      <c r="O19" s="93">
        <v>45832</v>
      </c>
      <c r="P19" s="94"/>
      <c r="Q19" s="93"/>
      <c r="R19" s="94"/>
      <c r="S19" s="90"/>
      <c r="T19" s="94"/>
      <c r="U19" s="90"/>
      <c r="V19" s="95"/>
    </row>
    <row r="20" spans="1:22" ht="12.75" customHeight="1">
      <c r="A20" s="86">
        <v>144</v>
      </c>
      <c r="B20" s="87" t="s">
        <v>33</v>
      </c>
      <c r="C20" s="88"/>
      <c r="D20" s="88"/>
      <c r="E20" s="88"/>
      <c r="F20" s="89"/>
      <c r="G20" s="90">
        <v>230</v>
      </c>
      <c r="H20" s="81"/>
      <c r="I20" s="90">
        <f>+G20*D12/1000</f>
        <v>1955</v>
      </c>
      <c r="J20" s="81"/>
      <c r="K20" s="91"/>
      <c r="L20" s="8"/>
      <c r="M20" s="92">
        <f t="shared" si="0"/>
        <v>144</v>
      </c>
      <c r="N20" s="92" t="str">
        <f t="shared" si="0"/>
        <v>NUTRICION PLANTAS - KCL - G</v>
      </c>
      <c r="O20" s="93">
        <v>45867</v>
      </c>
      <c r="P20" s="94"/>
      <c r="Q20" s="90"/>
      <c r="R20" s="94"/>
      <c r="S20" s="90"/>
      <c r="T20" s="94"/>
      <c r="U20" s="90"/>
      <c r="V20" s="95"/>
    </row>
    <row r="21" spans="1:22" ht="15" customHeight="1">
      <c r="A21" s="86">
        <v>150</v>
      </c>
      <c r="B21" s="87" t="s">
        <v>34</v>
      </c>
      <c r="C21" s="88"/>
      <c r="D21" s="88"/>
      <c r="E21" s="88"/>
      <c r="F21" s="89"/>
      <c r="G21" s="90">
        <v>30</v>
      </c>
      <c r="H21" s="81"/>
      <c r="I21" s="90">
        <f>+G21*D12/1000</f>
        <v>255</v>
      </c>
      <c r="J21" s="81"/>
      <c r="K21" s="91"/>
      <c r="L21" s="8"/>
      <c r="M21" s="92">
        <f t="shared" si="0"/>
        <v>150</v>
      </c>
      <c r="N21" s="92" t="str">
        <f t="shared" si="0"/>
        <v>CALFERQUIM - CALFERZINC P - G</v>
      </c>
      <c r="O21" s="93">
        <v>45885</v>
      </c>
      <c r="P21" s="94"/>
      <c r="Q21" s="90"/>
      <c r="R21" s="94"/>
      <c r="S21" s="90"/>
      <c r="T21" s="94"/>
      <c r="U21" s="90"/>
      <c r="V21" s="95"/>
    </row>
    <row r="22" spans="1:22" ht="15" customHeight="1">
      <c r="A22" s="86">
        <v>155</v>
      </c>
      <c r="B22" s="87" t="s">
        <v>35</v>
      </c>
      <c r="C22" s="88"/>
      <c r="D22" s="88"/>
      <c r="E22" s="88"/>
      <c r="F22" s="89"/>
      <c r="G22" s="90">
        <v>50</v>
      </c>
      <c r="H22" s="94"/>
      <c r="I22" s="90">
        <f>+G22*D12/1000</f>
        <v>425</v>
      </c>
      <c r="J22" s="94"/>
      <c r="K22" s="91"/>
      <c r="L22" s="8"/>
      <c r="M22" s="92">
        <f t="shared" si="0"/>
        <v>155</v>
      </c>
      <c r="N22" s="92" t="str">
        <f t="shared" si="0"/>
        <v>CALFERQUIM - RAIFOS 20 - G</v>
      </c>
      <c r="O22" s="93"/>
      <c r="P22" s="94"/>
      <c r="Q22" s="90"/>
      <c r="R22" s="94"/>
      <c r="S22" s="90"/>
      <c r="T22" s="94"/>
      <c r="U22" s="90"/>
      <c r="V22" s="95"/>
    </row>
    <row r="23" spans="1:22" ht="15" customHeight="1">
      <c r="A23" s="86"/>
      <c r="B23" s="87"/>
      <c r="C23" s="88"/>
      <c r="D23" s="88"/>
      <c r="E23" s="88"/>
      <c r="F23" s="89"/>
      <c r="G23" s="96"/>
      <c r="H23" s="97"/>
      <c r="I23" s="90">
        <f>+G23*D12/1000</f>
        <v>0</v>
      </c>
      <c r="J23" s="94"/>
      <c r="K23" s="91"/>
      <c r="L23" s="8"/>
      <c r="M23" s="92" t="str">
        <f t="shared" si="0"/>
        <v/>
      </c>
      <c r="N23" s="92" t="str">
        <f t="shared" si="0"/>
        <v/>
      </c>
      <c r="O23" s="93"/>
      <c r="P23" s="94"/>
      <c r="Q23" s="90"/>
      <c r="R23" s="94"/>
      <c r="S23" s="90"/>
      <c r="T23" s="94"/>
      <c r="U23" s="90"/>
      <c r="V23" s="95"/>
    </row>
    <row r="24" spans="1:22" ht="12" customHeight="1">
      <c r="A24" s="86"/>
      <c r="B24" s="87"/>
      <c r="C24" s="88"/>
      <c r="D24" s="88"/>
      <c r="E24" s="88"/>
      <c r="F24" s="89"/>
      <c r="G24" s="90"/>
      <c r="H24" s="81"/>
      <c r="I24" s="90"/>
      <c r="J24" s="81"/>
      <c r="K24" s="91"/>
      <c r="L24" s="8"/>
      <c r="M24" s="92" t="str">
        <f t="shared" si="0"/>
        <v/>
      </c>
      <c r="N24" s="92" t="str">
        <f t="shared" si="0"/>
        <v/>
      </c>
      <c r="O24" s="98"/>
      <c r="P24" s="99"/>
      <c r="Q24" s="100"/>
      <c r="R24" s="99"/>
      <c r="S24" s="100"/>
      <c r="T24" s="99"/>
      <c r="U24" s="100"/>
      <c r="V24" s="101"/>
    </row>
    <row r="25" spans="1:22" ht="12" customHeight="1">
      <c r="A25" s="102"/>
      <c r="B25" s="87"/>
      <c r="C25" s="88"/>
      <c r="D25" s="88"/>
      <c r="E25" s="88"/>
      <c r="F25" s="89"/>
      <c r="G25" s="90">
        <f>SUM(G15:G24)</f>
        <v>1000</v>
      </c>
      <c r="H25" s="81"/>
      <c r="I25" s="90">
        <f>+I15+I16+I17+I18+I19+I20+I21+I22+I23</f>
        <v>8500</v>
      </c>
      <c r="J25" s="81"/>
      <c r="K25" s="91"/>
      <c r="L25" s="8"/>
      <c r="M25" s="8"/>
      <c r="N25" s="8"/>
    </row>
    <row r="26" spans="1:22" ht="12" customHeight="1">
      <c r="A26" s="8"/>
      <c r="B26" s="75"/>
      <c r="C26" s="75"/>
      <c r="D26" s="75"/>
      <c r="E26" s="75"/>
      <c r="F26" s="75"/>
      <c r="G26" s="103"/>
      <c r="H26" s="104"/>
      <c r="I26" s="103"/>
      <c r="J26" s="104"/>
      <c r="K26" s="103"/>
      <c r="L26" s="8"/>
      <c r="M26" s="8"/>
      <c r="N26" s="8"/>
    </row>
    <row r="27" spans="1:22" ht="12" customHeight="1">
      <c r="A27" s="86">
        <v>450</v>
      </c>
      <c r="B27" s="87" t="s">
        <v>36</v>
      </c>
      <c r="C27" s="88"/>
      <c r="D27" s="88"/>
      <c r="E27" s="88"/>
      <c r="F27" s="89"/>
      <c r="G27" s="90">
        <v>0.9</v>
      </c>
      <c r="H27" s="81"/>
      <c r="I27" s="90"/>
      <c r="J27" s="81"/>
      <c r="K27" s="91"/>
      <c r="L27" s="8"/>
      <c r="M27" s="8"/>
      <c r="N27" s="8"/>
    </row>
    <row r="28" spans="1:22" ht="12" customHeight="1">
      <c r="A28" s="8"/>
      <c r="B28" s="17"/>
      <c r="C28" s="8"/>
      <c r="D28" s="75"/>
      <c r="E28" s="75"/>
      <c r="F28" s="75"/>
      <c r="G28" s="105"/>
      <c r="H28" s="105"/>
      <c r="I28" s="105"/>
      <c r="J28" s="105"/>
      <c r="K28" s="103"/>
      <c r="L28" s="8"/>
      <c r="M28" s="8"/>
      <c r="N28" s="8"/>
    </row>
    <row r="29" spans="1:22" ht="13.5" customHeight="1">
      <c r="A29" s="106" t="s">
        <v>19</v>
      </c>
      <c r="B29" s="80" t="s">
        <v>37</v>
      </c>
      <c r="C29" s="81"/>
      <c r="D29" s="107" t="s">
        <v>38</v>
      </c>
      <c r="E29" s="108"/>
      <c r="F29" s="109"/>
      <c r="G29" s="110" t="s">
        <v>39</v>
      </c>
      <c r="H29" s="81"/>
      <c r="I29" s="110" t="s">
        <v>40</v>
      </c>
      <c r="J29" s="81"/>
      <c r="K29" s="111" t="s">
        <v>23</v>
      </c>
      <c r="L29" s="8"/>
      <c r="M29" s="8"/>
      <c r="N29" s="8"/>
    </row>
    <row r="30" spans="1:22" ht="12.75" customHeight="1">
      <c r="A30" s="112">
        <v>232</v>
      </c>
      <c r="B30" s="113" t="s">
        <v>41</v>
      </c>
      <c r="C30" s="81"/>
      <c r="D30" s="114" t="s">
        <v>42</v>
      </c>
      <c r="E30" s="115"/>
      <c r="F30" s="116"/>
      <c r="G30" s="117">
        <v>50</v>
      </c>
      <c r="H30" s="81"/>
      <c r="I30" s="117">
        <f>+D12/G30</f>
        <v>170</v>
      </c>
      <c r="J30" s="81"/>
      <c r="K30" s="91"/>
      <c r="L30" s="8"/>
      <c r="M30" s="8"/>
      <c r="N30" s="8"/>
    </row>
    <row r="31" spans="1:22" ht="12.75" customHeight="1">
      <c r="A31" s="112"/>
      <c r="B31" s="118"/>
      <c r="C31" s="81"/>
      <c r="D31" s="119"/>
      <c r="E31" s="31"/>
      <c r="F31" s="81"/>
      <c r="G31" s="120"/>
      <c r="H31" s="81"/>
      <c r="I31" s="117"/>
      <c r="J31" s="81"/>
      <c r="K31" s="91"/>
      <c r="L31" s="8"/>
      <c r="M31" s="8"/>
      <c r="N31" s="8"/>
    </row>
    <row r="32" spans="1:22" ht="12.75" customHeight="1">
      <c r="A32" s="12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8"/>
      <c r="M32" s="8"/>
      <c r="N32" s="8"/>
    </row>
    <row r="33" spans="1:14" ht="15.75" customHeight="1">
      <c r="A33" s="122" t="s">
        <v>43</v>
      </c>
      <c r="B33" s="43"/>
      <c r="C33" s="43"/>
      <c r="D33" s="123"/>
      <c r="E33" s="123" t="s">
        <v>44</v>
      </c>
      <c r="F33" s="123"/>
      <c r="G33" s="123"/>
      <c r="H33" s="123"/>
      <c r="I33" s="123"/>
      <c r="J33" s="123"/>
      <c r="K33" s="123"/>
      <c r="L33" s="8"/>
      <c r="M33" s="8"/>
      <c r="N33" s="8"/>
    </row>
    <row r="34" spans="1:14" ht="12.75" customHeight="1">
      <c r="A34" s="124"/>
      <c r="B34" s="124"/>
      <c r="C34" s="124"/>
      <c r="D34" s="125"/>
      <c r="E34" s="125"/>
      <c r="F34" s="125"/>
      <c r="G34" s="125"/>
      <c r="H34" s="125"/>
      <c r="I34" s="125"/>
      <c r="J34" s="125"/>
      <c r="K34" s="125"/>
      <c r="L34" s="8"/>
      <c r="M34" s="8"/>
      <c r="N34" s="8"/>
    </row>
    <row r="35" spans="1:14" ht="12.75" customHeight="1">
      <c r="A35" s="126" t="s">
        <v>45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8"/>
      <c r="M35" s="8"/>
      <c r="N35" s="8"/>
    </row>
    <row r="36" spans="1:14" ht="12.75" customHeight="1">
      <c r="A36" s="127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8"/>
      <c r="M36" s="8"/>
      <c r="N36" s="8"/>
    </row>
    <row r="37" spans="1:14" ht="12.75" customHeight="1">
      <c r="A37" s="90" t="s">
        <v>46</v>
      </c>
      <c r="B37" s="31"/>
      <c r="C37" s="31"/>
      <c r="D37" s="31"/>
      <c r="E37" s="31"/>
      <c r="F37" s="31"/>
      <c r="G37" s="31"/>
      <c r="H37" s="31"/>
      <c r="I37" s="31"/>
      <c r="J37" s="31"/>
      <c r="K37" s="81"/>
      <c r="L37" s="8"/>
      <c r="M37" s="8"/>
      <c r="N37" s="8"/>
    </row>
    <row r="38" spans="1:14" ht="12.75" customHeight="1">
      <c r="A38" s="90" t="s">
        <v>47</v>
      </c>
      <c r="B38" s="31"/>
      <c r="C38" s="31"/>
      <c r="D38" s="31"/>
      <c r="E38" s="31"/>
      <c r="F38" s="31"/>
      <c r="G38" s="31"/>
      <c r="H38" s="31"/>
      <c r="I38" s="31"/>
      <c r="J38" s="31"/>
      <c r="K38" s="81"/>
      <c r="L38" s="8"/>
      <c r="M38" s="8"/>
      <c r="N38" s="8"/>
    </row>
    <row r="39" spans="1:14" ht="12.75" customHeight="1">
      <c r="A39" s="90" t="s">
        <v>48</v>
      </c>
      <c r="B39" s="31"/>
      <c r="C39" s="31"/>
      <c r="D39" s="31"/>
      <c r="E39" s="31"/>
      <c r="F39" s="31"/>
      <c r="G39" s="31"/>
      <c r="H39" s="31"/>
      <c r="I39" s="31"/>
      <c r="J39" s="31"/>
      <c r="K39" s="81"/>
      <c r="L39" s="8"/>
      <c r="M39" s="8"/>
      <c r="N39" s="8"/>
    </row>
    <row r="40" spans="1:14" ht="12.75" customHeight="1">
      <c r="A40" s="90" t="s">
        <v>49</v>
      </c>
      <c r="B40" s="31"/>
      <c r="C40" s="31"/>
      <c r="D40" s="31"/>
      <c r="E40" s="31"/>
      <c r="F40" s="31"/>
      <c r="G40" s="31"/>
      <c r="H40" s="31"/>
      <c r="I40" s="31"/>
      <c r="J40" s="31"/>
      <c r="K40" s="81"/>
      <c r="L40" s="8"/>
      <c r="M40" s="8"/>
      <c r="N40" s="8"/>
    </row>
    <row r="41" spans="1:14" ht="12.75" customHeight="1">
      <c r="A41" s="103"/>
      <c r="B41" s="17"/>
      <c r="C41" s="103"/>
      <c r="D41" s="103"/>
      <c r="E41" s="103"/>
      <c r="F41" s="103"/>
      <c r="G41" s="103"/>
      <c r="H41" s="103"/>
      <c r="I41" s="103"/>
      <c r="J41" s="103"/>
      <c r="K41" s="103"/>
      <c r="L41" s="8"/>
      <c r="M41" s="8"/>
      <c r="N41" s="8"/>
    </row>
    <row r="42" spans="1:14" ht="48" customHeight="1">
      <c r="A42" s="128"/>
      <c r="B42" s="129"/>
      <c r="C42" s="128"/>
      <c r="D42" s="128"/>
      <c r="E42" s="130"/>
      <c r="F42" s="131"/>
      <c r="G42" s="131"/>
      <c r="H42" s="132"/>
      <c r="I42" s="128"/>
      <c r="J42" s="128"/>
      <c r="K42" s="128"/>
      <c r="L42" s="8"/>
      <c r="M42" s="8"/>
      <c r="N42" s="8"/>
    </row>
    <row r="43" spans="1:14" ht="20.25" customHeight="1">
      <c r="A43" s="128"/>
      <c r="B43" s="129"/>
      <c r="C43" s="128"/>
      <c r="D43" s="128"/>
      <c r="E43" s="133" t="s">
        <v>50</v>
      </c>
      <c r="F43" s="134"/>
      <c r="G43" s="134"/>
      <c r="H43" s="132"/>
      <c r="I43" s="128"/>
      <c r="J43" s="128"/>
      <c r="K43" s="128"/>
      <c r="L43" s="8"/>
      <c r="M43" s="8"/>
      <c r="N43" s="8"/>
    </row>
    <row r="44" spans="1:14" ht="37.5" customHeight="1">
      <c r="A44" s="130"/>
      <c r="B44" s="131"/>
      <c r="C44" s="131"/>
      <c r="D44" s="131"/>
      <c r="E44" s="8"/>
      <c r="F44" s="8"/>
      <c r="G44" s="8"/>
      <c r="H44" s="132"/>
      <c r="I44" s="130"/>
      <c r="J44" s="131"/>
      <c r="K44" s="131"/>
      <c r="L44" s="8"/>
      <c r="M44" s="8"/>
      <c r="N44" s="8"/>
    </row>
    <row r="45" spans="1:14" ht="12.75" customHeight="1">
      <c r="A45" s="135" t="s">
        <v>51</v>
      </c>
      <c r="B45" s="136"/>
      <c r="C45" s="136"/>
      <c r="D45" s="136"/>
      <c r="E45" s="8"/>
      <c r="F45" s="75"/>
      <c r="G45" s="8"/>
      <c r="H45" s="8"/>
      <c r="I45" s="137" t="s">
        <v>52</v>
      </c>
      <c r="J45" s="136"/>
      <c r="K45" s="136"/>
      <c r="L45" s="8"/>
      <c r="M45" s="8"/>
      <c r="N45" s="8"/>
    </row>
    <row r="46" spans="1:14" ht="15" customHeight="1">
      <c r="A46" s="8"/>
      <c r="B46" s="17"/>
      <c r="C46" s="8"/>
      <c r="D46" s="8"/>
      <c r="E46" s="8"/>
      <c r="F46" s="8"/>
      <c r="G46" s="8"/>
      <c r="H46" s="8"/>
      <c r="I46" s="138"/>
      <c r="J46" s="138"/>
      <c r="K46" s="138"/>
      <c r="L46" s="8"/>
      <c r="M46" s="8"/>
      <c r="N46" s="8"/>
    </row>
    <row r="47" spans="1:14" ht="12.75" customHeight="1">
      <c r="A47" s="8"/>
      <c r="B47" s="17"/>
      <c r="C47" s="103"/>
      <c r="D47" s="8"/>
      <c r="E47" s="8"/>
      <c r="F47" s="8"/>
      <c r="G47" s="75"/>
      <c r="H47" s="75"/>
      <c r="I47" s="139"/>
      <c r="J47" s="139"/>
      <c r="K47" s="140"/>
      <c r="L47" s="8"/>
      <c r="M47" s="8"/>
      <c r="N47" s="8"/>
    </row>
    <row r="48" spans="1:14" ht="12.75" customHeight="1">
      <c r="A48" s="8"/>
      <c r="B48" s="17"/>
      <c r="C48" s="8"/>
      <c r="D48" s="8"/>
      <c r="E48" s="8"/>
      <c r="F48" s="8"/>
      <c r="G48" s="8"/>
      <c r="H48" s="8"/>
      <c r="I48" s="141"/>
      <c r="J48" s="19"/>
      <c r="K48" s="19"/>
      <c r="L48" s="8"/>
      <c r="M48" s="8"/>
      <c r="N48" s="8"/>
    </row>
    <row r="49" spans="1:14" ht="4.5" customHeight="1">
      <c r="A49" s="142"/>
      <c r="B49" s="19"/>
      <c r="C49" s="19"/>
      <c r="D49" s="19"/>
      <c r="E49" s="8"/>
      <c r="F49" s="8"/>
      <c r="G49" s="8"/>
      <c r="H49" s="8"/>
      <c r="I49" s="138"/>
      <c r="J49" s="138"/>
      <c r="K49" s="138"/>
      <c r="L49" s="8"/>
      <c r="M49" s="8"/>
      <c r="N49" s="8"/>
    </row>
    <row r="50" spans="1:14" ht="12.75" customHeight="1">
      <c r="A50" s="142"/>
      <c r="B50" s="19"/>
      <c r="C50" s="19"/>
      <c r="D50" s="19"/>
      <c r="E50" s="8"/>
      <c r="F50" s="8"/>
      <c r="G50" s="8"/>
      <c r="H50" s="8"/>
      <c r="I50" s="138"/>
      <c r="J50" s="138"/>
      <c r="K50" s="138"/>
      <c r="L50" s="8"/>
      <c r="M50" s="8"/>
      <c r="N50" s="8"/>
    </row>
    <row r="51" spans="1:14" ht="12.75" customHeight="1">
      <c r="A51" s="142"/>
      <c r="B51" s="19"/>
      <c r="C51" s="19"/>
      <c r="D51" s="19"/>
      <c r="E51" s="8"/>
      <c r="F51" s="8"/>
      <c r="G51" s="8"/>
      <c r="H51" s="8"/>
      <c r="I51" s="141"/>
      <c r="J51" s="19"/>
      <c r="K51" s="19"/>
      <c r="L51" s="8"/>
      <c r="M51" s="8"/>
      <c r="N51" s="8"/>
    </row>
    <row r="52" spans="1:14" ht="1.5" customHeight="1">
      <c r="A52" s="142"/>
      <c r="B52" s="19"/>
      <c r="C52" s="19"/>
      <c r="D52" s="19"/>
      <c r="E52" s="8"/>
      <c r="F52" s="8"/>
      <c r="G52" s="8"/>
      <c r="H52" s="8"/>
      <c r="I52" s="138"/>
      <c r="J52" s="138"/>
      <c r="K52" s="138"/>
      <c r="L52" s="8"/>
      <c r="M52" s="8"/>
      <c r="N52" s="8"/>
    </row>
    <row r="53" spans="1:14" ht="12.75" customHeight="1">
      <c r="A53" s="142"/>
      <c r="B53" s="19"/>
      <c r="C53" s="19"/>
      <c r="D53" s="19"/>
      <c r="E53" s="8"/>
      <c r="F53" s="8"/>
      <c r="G53" s="8"/>
      <c r="H53" s="8"/>
      <c r="I53" s="138"/>
      <c r="J53" s="138"/>
      <c r="K53" s="138"/>
      <c r="L53" s="8"/>
      <c r="M53" s="8"/>
      <c r="N53" s="8"/>
    </row>
    <row r="54" spans="1:14" ht="12.75" customHeight="1">
      <c r="A54" s="8"/>
      <c r="B54" s="17"/>
      <c r="C54" s="8"/>
      <c r="D54" s="8"/>
      <c r="E54" s="8"/>
      <c r="F54" s="8"/>
      <c r="G54" s="8"/>
      <c r="H54" s="8"/>
      <c r="I54" s="138"/>
      <c r="J54" s="138"/>
      <c r="K54" s="138"/>
      <c r="L54" s="8"/>
      <c r="M54" s="8"/>
      <c r="N54" s="8"/>
    </row>
    <row r="55" spans="1:14" ht="12.75" customHeight="1">
      <c r="A55" s="8"/>
      <c r="B55" s="17"/>
      <c r="C55" s="8"/>
      <c r="D55" s="8"/>
      <c r="E55" s="8"/>
      <c r="F55" s="8"/>
      <c r="G55" s="8"/>
      <c r="H55" s="8"/>
      <c r="I55" s="141"/>
      <c r="J55" s="19"/>
      <c r="K55" s="19"/>
      <c r="L55" s="8"/>
      <c r="M55" s="8"/>
      <c r="N55" s="8"/>
    </row>
    <row r="56" spans="1:14" ht="12.75" customHeight="1">
      <c r="A56" s="142"/>
      <c r="B56" s="19"/>
      <c r="C56" s="19"/>
      <c r="D56" s="19"/>
      <c r="E56" s="8"/>
      <c r="F56" s="8"/>
      <c r="G56" s="8"/>
      <c r="H56" s="8"/>
      <c r="I56" s="138"/>
      <c r="J56" s="138"/>
      <c r="K56" s="138"/>
      <c r="L56" s="8"/>
      <c r="M56" s="8"/>
      <c r="N56" s="8"/>
    </row>
    <row r="57" spans="1:14" ht="12.75" customHeight="1">
      <c r="A57" s="142"/>
      <c r="B57" s="19"/>
      <c r="C57" s="19"/>
      <c r="D57" s="19"/>
      <c r="E57" s="8"/>
      <c r="F57" s="8"/>
      <c r="G57" s="8"/>
      <c r="H57" s="8"/>
      <c r="I57" s="138"/>
      <c r="J57" s="138"/>
      <c r="K57" s="138"/>
      <c r="L57" s="8"/>
      <c r="M57" s="8"/>
      <c r="N57" s="8"/>
    </row>
    <row r="58" spans="1:14" ht="12.75" customHeight="1">
      <c r="A58" s="142"/>
      <c r="B58" s="19"/>
      <c r="C58" s="19"/>
      <c r="D58" s="19"/>
      <c r="E58" s="8"/>
      <c r="F58" s="8"/>
      <c r="G58" s="8"/>
      <c r="H58" s="8"/>
      <c r="I58" s="138"/>
      <c r="J58" s="138"/>
      <c r="K58" s="138"/>
      <c r="L58" s="8"/>
      <c r="M58" s="8"/>
      <c r="N58" s="8"/>
    </row>
    <row r="59" spans="1:14" ht="12.75" customHeight="1">
      <c r="A59" s="8"/>
      <c r="B59" s="17"/>
      <c r="C59" s="8"/>
      <c r="D59" s="8"/>
      <c r="E59" s="75"/>
      <c r="F59" s="75"/>
      <c r="G59" s="8"/>
      <c r="H59" s="8"/>
      <c r="I59" s="8"/>
      <c r="J59" s="75"/>
      <c r="K59" s="75"/>
      <c r="L59" s="8"/>
      <c r="M59" s="8"/>
      <c r="N59" s="8"/>
    </row>
    <row r="60" spans="1:14" ht="14.25" customHeight="1">
      <c r="A60" s="8"/>
      <c r="B60" s="17"/>
      <c r="C60" s="8"/>
      <c r="D60" s="8"/>
      <c r="E60" s="8"/>
      <c r="F60" s="8"/>
      <c r="G60" s="8"/>
      <c r="H60" s="8"/>
      <c r="I60" s="8"/>
      <c r="J60" s="8"/>
      <c r="K60" s="75"/>
      <c r="L60" s="8"/>
      <c r="M60" s="8"/>
      <c r="N60" s="8"/>
    </row>
    <row r="61" spans="1:14" ht="12.75" customHeight="1">
      <c r="A61" s="8"/>
      <c r="B61" s="1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ht="12.75" customHeight="1">
      <c r="A62" s="8"/>
      <c r="B62" s="1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 ht="12.75" customHeight="1">
      <c r="A63" s="75"/>
      <c r="B63" s="17"/>
      <c r="C63" s="75"/>
      <c r="D63" s="75"/>
      <c r="E63" s="75"/>
      <c r="F63" s="75"/>
      <c r="G63" s="75"/>
      <c r="H63" s="75"/>
      <c r="I63" s="75"/>
      <c r="J63" s="75"/>
      <c r="K63" s="75"/>
      <c r="L63" s="8"/>
      <c r="M63" s="8"/>
      <c r="N63" s="8"/>
    </row>
    <row r="64" spans="1:14" ht="12.75" customHeight="1">
      <c r="A64" s="8"/>
      <c r="B64" s="1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1:14" ht="12.75" customHeight="1">
      <c r="A65" s="8"/>
      <c r="B65" s="1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1:14" ht="12.75" customHeight="1">
      <c r="A66" s="8"/>
      <c r="B66" s="1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1:14" ht="12.75" customHeight="1">
      <c r="A67" s="8"/>
      <c r="B67" s="1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1:14" ht="12.75" customHeight="1">
      <c r="A68" s="8"/>
      <c r="B68" s="1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1:14" ht="12.75" customHeight="1">
      <c r="A69" s="8"/>
      <c r="B69" s="1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 ht="12.75" customHeight="1">
      <c r="A70" s="8"/>
      <c r="B70" s="1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 ht="12.75" customHeight="1">
      <c r="A71" s="8"/>
      <c r="B71" s="1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ht="12.75" customHeight="1">
      <c r="A72" s="8"/>
      <c r="B72" s="1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 ht="12.75" customHeight="1">
      <c r="A73" s="8"/>
      <c r="B73" s="1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12.75" customHeight="1">
      <c r="A74" s="8"/>
      <c r="B74" s="1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spans="1:14" ht="12.75" customHeight="1">
      <c r="A75" s="8"/>
      <c r="B75" s="1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12.75" customHeight="1">
      <c r="A76" s="8"/>
      <c r="B76" s="1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ht="12.75" customHeight="1">
      <c r="A77" s="8"/>
      <c r="B77" s="1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ht="12.75" customHeight="1">
      <c r="A78" s="8"/>
      <c r="B78" s="1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 ht="12.75" customHeight="1">
      <c r="A79" s="8"/>
      <c r="B79" s="1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ht="12.75" customHeight="1">
      <c r="A80" s="8"/>
      <c r="B80" s="1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 spans="1:14" ht="12.75" customHeight="1">
      <c r="A81" s="8"/>
      <c r="B81" s="1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ht="12.75" customHeight="1">
      <c r="A82" s="8"/>
      <c r="B82" s="1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ht="12.75" customHeight="1">
      <c r="A83" s="8"/>
      <c r="B83" s="1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 spans="1:14" ht="12.75" customHeight="1">
      <c r="A84" s="8"/>
      <c r="B84" s="1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spans="1:14" ht="12.75" customHeight="1">
      <c r="A85" s="8"/>
      <c r="B85" s="1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 spans="1:14" ht="12.75" customHeight="1">
      <c r="A86" s="8"/>
      <c r="B86" s="1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1:14" ht="12.75" customHeight="1">
      <c r="A87" s="8"/>
      <c r="B87" s="1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ht="12.75" customHeight="1">
      <c r="A88" s="8"/>
      <c r="B88" s="1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 spans="1:14" ht="12.75" customHeight="1">
      <c r="A89" s="8"/>
      <c r="B89" s="1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ht="12.75" customHeight="1">
      <c r="A90" s="8"/>
      <c r="B90" s="1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 spans="1:14" ht="12.75" customHeight="1">
      <c r="A91" s="8"/>
      <c r="B91" s="1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 spans="1:14" ht="12.75" customHeight="1">
      <c r="A92" s="8"/>
      <c r="B92" s="1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4" ht="12.75" customHeight="1">
      <c r="A93" s="8"/>
      <c r="B93" s="1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 spans="1:14" ht="12.75" customHeight="1">
      <c r="A94" s="8"/>
      <c r="B94" s="17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 spans="1:14" ht="12.75" customHeight="1">
      <c r="A95" s="8"/>
      <c r="B95" s="1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ht="12.75" customHeight="1">
      <c r="A96" s="8"/>
      <c r="B96" s="17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ht="12.75" customHeight="1">
      <c r="A97" s="8"/>
      <c r="B97" s="1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ht="12.75" customHeight="1">
      <c r="A98" s="8"/>
      <c r="B98" s="1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4" ht="12.75" customHeight="1">
      <c r="A99" s="8"/>
      <c r="B99" s="1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1:14" ht="12.75" customHeight="1">
      <c r="A100" s="8"/>
      <c r="B100" s="17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 ht="12.75" customHeight="1">
      <c r="A101" s="8"/>
      <c r="B101" s="1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1:14" ht="12.75" customHeight="1">
      <c r="A102" s="8"/>
      <c r="B102" s="17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 ht="12.75" customHeight="1">
      <c r="A103" s="8"/>
      <c r="B103" s="1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1:14" ht="12.75" customHeight="1">
      <c r="A104" s="8"/>
      <c r="B104" s="17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1:14" ht="12.75" customHeight="1">
      <c r="A105" s="8"/>
      <c r="B105" s="1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1:14" ht="12.75" customHeight="1">
      <c r="A106" s="8"/>
      <c r="B106" s="17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 spans="1:14" ht="12.75" customHeight="1">
      <c r="A107" s="8"/>
      <c r="B107" s="1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 spans="1:14" ht="12.75" customHeight="1">
      <c r="A108" s="8"/>
      <c r="B108" s="17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1:14" ht="12.75" customHeight="1">
      <c r="A109" s="8"/>
      <c r="B109" s="1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ht="12.75" customHeight="1">
      <c r="A110" s="8"/>
      <c r="B110" s="17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 spans="1:14" ht="12.75" customHeight="1">
      <c r="A111" s="8"/>
      <c r="B111" s="1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 spans="1:14" ht="12.75" customHeight="1">
      <c r="A112" s="8"/>
      <c r="B112" s="1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 spans="1:14" ht="12.75" customHeight="1">
      <c r="A113" s="8"/>
      <c r="B113" s="1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ht="12.75" customHeight="1">
      <c r="A114" s="8"/>
      <c r="B114" s="17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ht="12.75" customHeight="1">
      <c r="A115" s="8"/>
      <c r="B115" s="1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ht="12.75" customHeight="1">
      <c r="A116" s="8"/>
      <c r="B116" s="17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1:14" ht="12.75" customHeight="1">
      <c r="A117" s="8"/>
      <c r="B117" s="1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ht="12.75" customHeight="1">
      <c r="A118" s="8"/>
      <c r="B118" s="17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4" ht="12.75" customHeight="1">
      <c r="A119" s="8"/>
      <c r="B119" s="1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ht="12.75" customHeight="1">
      <c r="A120" s="8"/>
      <c r="B120" s="17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ht="12.75" customHeight="1">
      <c r="A121" s="8"/>
      <c r="B121" s="1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ht="12.75" customHeight="1">
      <c r="A122" s="8"/>
      <c r="B122" s="17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ht="12.75" customHeight="1">
      <c r="A123" s="8"/>
      <c r="B123" s="1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ht="12.75" customHeight="1">
      <c r="A124" s="8"/>
      <c r="B124" s="17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ht="12.75" customHeight="1">
      <c r="A125" s="8"/>
      <c r="B125" s="1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ht="12.75" customHeight="1">
      <c r="A126" s="8"/>
      <c r="B126" s="17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ht="12.75" customHeight="1">
      <c r="A127" s="8"/>
      <c r="B127" s="1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ht="12.75" customHeight="1">
      <c r="A128" s="8"/>
      <c r="B128" s="17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ht="12.75" customHeight="1">
      <c r="A129" s="8"/>
      <c r="B129" s="1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ht="12.75" customHeight="1">
      <c r="A130" s="8"/>
      <c r="B130" s="17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ht="12.75" customHeight="1">
      <c r="A131" s="8"/>
      <c r="B131" s="1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ht="12.75" customHeight="1">
      <c r="A132" s="8"/>
      <c r="B132" s="17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33" spans="1:14" ht="12.75" customHeight="1">
      <c r="A133" s="8"/>
      <c r="B133" s="1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ht="12.75" customHeight="1">
      <c r="A134" s="8"/>
      <c r="B134" s="1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</row>
    <row r="135" spans="1:14" ht="12.75" customHeight="1">
      <c r="A135" s="8"/>
      <c r="B135" s="1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</row>
    <row r="136" spans="1:14" ht="12.75" customHeight="1">
      <c r="A136" s="8"/>
      <c r="B136" s="17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</row>
    <row r="137" spans="1:14" ht="12.75" customHeight="1">
      <c r="A137" s="8"/>
      <c r="B137" s="1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</row>
    <row r="138" spans="1:14" ht="12.75" customHeight="1">
      <c r="A138" s="8"/>
      <c r="B138" s="17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4" ht="12.75" customHeight="1">
      <c r="A139" s="8"/>
      <c r="B139" s="1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</row>
    <row r="140" spans="1:14" ht="12.75" customHeight="1">
      <c r="A140" s="8"/>
      <c r="B140" s="17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1:14" ht="12.75" customHeight="1">
      <c r="A141" s="8"/>
      <c r="B141" s="1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</row>
    <row r="142" spans="1:14" ht="12.75" customHeight="1">
      <c r="A142" s="8"/>
      <c r="B142" s="17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</row>
    <row r="143" spans="1:14" ht="12.75" customHeight="1">
      <c r="A143" s="8"/>
      <c r="B143" s="1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ht="12.75" customHeight="1">
      <c r="A144" s="8"/>
      <c r="B144" s="17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</row>
    <row r="145" spans="1:14" ht="12.75" customHeight="1">
      <c r="A145" s="8"/>
      <c r="B145" s="1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</row>
    <row r="146" spans="1:14" ht="12.75" customHeight="1">
      <c r="A146" s="8"/>
      <c r="B146" s="17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</row>
    <row r="147" spans="1:14" ht="12.75" customHeight="1">
      <c r="A147" s="8"/>
      <c r="B147" s="1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</row>
    <row r="148" spans="1:14" ht="12.75" customHeight="1">
      <c r="A148" s="8"/>
      <c r="B148" s="17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</row>
    <row r="149" spans="1:14" ht="12.75" customHeight="1">
      <c r="A149" s="8"/>
      <c r="B149" s="1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</row>
    <row r="150" spans="1:14" ht="12.75" customHeight="1">
      <c r="A150" s="8"/>
      <c r="B150" s="17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1:14" ht="12.75" customHeight="1">
      <c r="A151" s="8"/>
      <c r="B151" s="1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</row>
    <row r="152" spans="1:14" ht="12.75" customHeight="1">
      <c r="A152" s="8"/>
      <c r="B152" s="17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1:14" ht="12.75" customHeight="1">
      <c r="A153" s="8"/>
      <c r="B153" s="1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</row>
    <row r="154" spans="1:14" ht="12.75" customHeight="1">
      <c r="A154" s="8"/>
      <c r="B154" s="17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</row>
    <row r="155" spans="1:14" ht="12.75" customHeight="1">
      <c r="A155" s="8"/>
      <c r="B155" s="1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</row>
    <row r="156" spans="1:14" ht="12.75" customHeight="1">
      <c r="A156" s="8"/>
      <c r="B156" s="17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</row>
    <row r="157" spans="1:14" ht="12.75" customHeight="1">
      <c r="A157" s="8"/>
      <c r="B157" s="1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</row>
    <row r="158" spans="1:14" ht="12.75" customHeight="1">
      <c r="A158" s="8"/>
      <c r="B158" s="17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</row>
    <row r="159" spans="1:14" ht="12.75" customHeight="1">
      <c r="A159" s="8"/>
      <c r="B159" s="1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</row>
    <row r="160" spans="1:14" ht="12.75" customHeight="1">
      <c r="A160" s="8"/>
      <c r="B160" s="17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</row>
    <row r="161" spans="1:14" ht="12.75" customHeight="1">
      <c r="A161" s="8"/>
      <c r="B161" s="1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</row>
    <row r="162" spans="1:14" ht="12.75" customHeight="1">
      <c r="A162" s="8"/>
      <c r="B162" s="17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</row>
    <row r="163" spans="1:14" ht="12.75" customHeight="1">
      <c r="A163" s="8"/>
      <c r="B163" s="1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ht="12.75" customHeight="1">
      <c r="A164" s="8"/>
      <c r="B164" s="17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</row>
    <row r="165" spans="1:14" ht="12.75" customHeight="1">
      <c r="A165" s="8"/>
      <c r="B165" s="1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ht="12.75" customHeight="1">
      <c r="A166" s="8"/>
      <c r="B166" s="1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</row>
    <row r="167" spans="1:14" ht="12.75" customHeight="1">
      <c r="A167" s="8"/>
      <c r="B167" s="1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</row>
    <row r="168" spans="1:14" ht="12.75" customHeight="1">
      <c r="A168" s="8"/>
      <c r="B168" s="17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</row>
    <row r="169" spans="1:14" ht="12.75" customHeight="1">
      <c r="A169" s="8"/>
      <c r="B169" s="1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</row>
    <row r="170" spans="1:14" ht="12.75" customHeight="1">
      <c r="A170" s="8"/>
      <c r="B170" s="17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</row>
    <row r="171" spans="1:14" ht="12.75" customHeight="1">
      <c r="A171" s="8"/>
      <c r="B171" s="1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</row>
    <row r="172" spans="1:14" ht="12.75" customHeight="1">
      <c r="A172" s="8"/>
      <c r="B172" s="17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</row>
    <row r="173" spans="1:14" ht="12.75" customHeight="1">
      <c r="A173" s="8"/>
      <c r="B173" s="1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</row>
    <row r="174" spans="1:14" ht="12.75" customHeight="1">
      <c r="A174" s="8"/>
      <c r="B174" s="17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  <row r="175" spans="1:14" ht="12.75" customHeight="1">
      <c r="A175" s="8"/>
      <c r="B175" s="1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ht="12.75" customHeight="1">
      <c r="A176" s="8"/>
      <c r="B176" s="17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</row>
    <row r="177" spans="1:14" ht="12.75" customHeight="1">
      <c r="A177" s="8"/>
      <c r="B177" s="1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4" ht="12.75" customHeight="1">
      <c r="A178" s="8"/>
      <c r="B178" s="17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</row>
    <row r="179" spans="1:14" ht="12.75" customHeight="1">
      <c r="A179" s="8"/>
      <c r="B179" s="1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</row>
    <row r="180" spans="1:14" ht="12.75" customHeight="1">
      <c r="A180" s="8"/>
      <c r="B180" s="17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</row>
    <row r="181" spans="1:14" ht="12.75" customHeight="1">
      <c r="A181" s="8"/>
      <c r="B181" s="1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</row>
    <row r="182" spans="1:14" ht="12.75" customHeight="1">
      <c r="A182" s="8"/>
      <c r="B182" s="17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</row>
    <row r="183" spans="1:14" ht="12.75" customHeight="1">
      <c r="A183" s="8"/>
      <c r="B183" s="1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</row>
    <row r="184" spans="1:14" ht="12.75" customHeight="1">
      <c r="A184" s="8"/>
      <c r="B184" s="17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1:14" ht="12.75" customHeight="1">
      <c r="A185" s="8"/>
      <c r="B185" s="1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</row>
    <row r="186" spans="1:14" ht="12.75" customHeight="1">
      <c r="A186" s="8"/>
      <c r="B186" s="17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1:14" ht="12.75" customHeight="1">
      <c r="A187" s="8"/>
      <c r="B187" s="1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</row>
    <row r="188" spans="1:14" ht="12.75" customHeight="1">
      <c r="A188" s="8"/>
      <c r="B188" s="1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</row>
    <row r="189" spans="1:14" ht="12.75" customHeight="1">
      <c r="A189" s="8"/>
      <c r="B189" s="1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</row>
    <row r="190" spans="1:14" ht="12.75" customHeight="1">
      <c r="A190" s="8"/>
      <c r="B190" s="17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</row>
    <row r="191" spans="1:14" ht="12.75" customHeight="1">
      <c r="A191" s="8"/>
      <c r="B191" s="1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</row>
    <row r="192" spans="1:14" ht="12.75" customHeight="1">
      <c r="A192" s="8"/>
      <c r="B192" s="17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</row>
    <row r="193" spans="1:14" ht="12.75" customHeight="1">
      <c r="A193" s="8"/>
      <c r="B193" s="1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1:14" ht="12.75" customHeight="1">
      <c r="A194" s="8"/>
      <c r="B194" s="17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</row>
    <row r="195" spans="1:14" ht="12.75" customHeight="1">
      <c r="A195" s="8"/>
      <c r="B195" s="1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ht="12.75" customHeight="1">
      <c r="A196" s="8"/>
      <c r="B196" s="17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</row>
    <row r="197" spans="1:14" ht="12.75" customHeight="1">
      <c r="A197" s="8"/>
      <c r="B197" s="1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</row>
    <row r="198" spans="1:14" ht="12.75" customHeight="1">
      <c r="A198" s="8"/>
      <c r="B198" s="17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</row>
    <row r="199" spans="1:14" ht="12.75" customHeight="1">
      <c r="A199" s="8"/>
      <c r="B199" s="1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</row>
    <row r="200" spans="1:14" ht="12.75" customHeight="1">
      <c r="A200" s="8"/>
      <c r="B200" s="17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</row>
    <row r="201" spans="1:14" ht="12.75" customHeight="1">
      <c r="A201" s="8"/>
      <c r="B201" s="1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</row>
    <row r="202" spans="1:14" ht="12.75" customHeight="1">
      <c r="A202" s="8"/>
      <c r="B202" s="17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1:14" ht="12.75" customHeight="1">
      <c r="A203" s="8"/>
      <c r="B203" s="1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</row>
    <row r="204" spans="1:14" ht="12.75" customHeight="1">
      <c r="A204" s="8"/>
      <c r="B204" s="17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1:14" ht="12.75" customHeight="1">
      <c r="A205" s="8"/>
      <c r="B205" s="1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</row>
    <row r="206" spans="1:14" ht="12.75" customHeight="1">
      <c r="A206" s="8"/>
      <c r="B206" s="17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</row>
    <row r="207" spans="1:14" ht="12.75" customHeight="1">
      <c r="A207" s="8"/>
      <c r="B207" s="1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</row>
    <row r="208" spans="1:14" ht="12.75" customHeight="1">
      <c r="A208" s="8"/>
      <c r="B208" s="17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</row>
    <row r="209" spans="1:14" ht="12.75" customHeight="1">
      <c r="A209" s="8"/>
      <c r="B209" s="1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</row>
    <row r="210" spans="1:14" ht="12.75" customHeight="1">
      <c r="A210" s="8"/>
      <c r="B210" s="1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</row>
    <row r="211" spans="1:14" ht="12.75" customHeight="1">
      <c r="A211" s="8"/>
      <c r="B211" s="1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ht="12.75" customHeight="1">
      <c r="A212" s="8"/>
      <c r="B212" s="17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</row>
    <row r="213" spans="1:14" ht="12.75" customHeight="1">
      <c r="A213" s="8"/>
      <c r="B213" s="1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1:14" ht="12.75" customHeight="1">
      <c r="A214" s="8"/>
      <c r="B214" s="17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</row>
    <row r="215" spans="1:14" ht="12.75" customHeight="1">
      <c r="A215" s="8"/>
      <c r="B215" s="1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</row>
    <row r="216" spans="1:14" ht="12.75" customHeight="1">
      <c r="A216" s="8"/>
      <c r="B216" s="17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</row>
    <row r="217" spans="1:14" ht="12.75" customHeight="1">
      <c r="A217" s="8"/>
      <c r="B217" s="1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</row>
    <row r="218" spans="1:14" ht="12.75" customHeight="1">
      <c r="A218" s="8"/>
      <c r="B218" s="17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</row>
    <row r="219" spans="1:14" ht="12.75" customHeight="1">
      <c r="A219" s="8"/>
      <c r="B219" s="1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</row>
    <row r="220" spans="1:14" ht="12.75" customHeight="1">
      <c r="A220" s="8"/>
      <c r="B220" s="17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1:14" ht="12.75" customHeight="1">
      <c r="A221" s="8"/>
      <c r="B221" s="1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</row>
    <row r="222" spans="1:14" ht="12.75" customHeight="1">
      <c r="A222" s="8"/>
      <c r="B222" s="17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1:14" ht="12.75" customHeight="1">
      <c r="A223" s="8"/>
      <c r="B223" s="1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</row>
    <row r="224" spans="1:14" ht="12.75" customHeight="1">
      <c r="A224" s="8"/>
      <c r="B224" s="17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</row>
    <row r="225" spans="1:14" ht="12.75" customHeight="1">
      <c r="A225" s="8"/>
      <c r="B225" s="1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</row>
    <row r="226" spans="1:14" ht="12.75" customHeight="1">
      <c r="A226" s="8"/>
      <c r="B226" s="17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</row>
    <row r="227" spans="1:14" ht="12.75" customHeight="1">
      <c r="A227" s="8"/>
      <c r="B227" s="1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</row>
    <row r="228" spans="1:14" ht="12.75" customHeight="1">
      <c r="A228" s="8"/>
      <c r="B228" s="17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</row>
    <row r="229" spans="1:14" ht="12.75" customHeight="1">
      <c r="A229" s="8"/>
      <c r="B229" s="1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1:14" ht="12.75" customHeight="1">
      <c r="A230" s="8"/>
      <c r="B230" s="17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</row>
    <row r="231" spans="1:14" ht="12.75" customHeight="1">
      <c r="A231" s="8"/>
      <c r="B231" s="1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1:14" ht="12.75" customHeight="1">
      <c r="A232" s="8"/>
      <c r="B232" s="17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</row>
    <row r="233" spans="1:14" ht="12.75" customHeight="1">
      <c r="A233" s="8"/>
      <c r="B233" s="1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</row>
    <row r="234" spans="1:14" ht="12.75" customHeight="1">
      <c r="A234" s="8"/>
      <c r="B234" s="17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</row>
    <row r="235" spans="1:14" ht="12.75" customHeight="1">
      <c r="A235" s="8"/>
      <c r="B235" s="1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</row>
    <row r="236" spans="1:14" ht="12.75" customHeight="1">
      <c r="A236" s="8"/>
      <c r="B236" s="17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</row>
    <row r="237" spans="1:14" ht="12.75" customHeight="1">
      <c r="A237" s="8"/>
      <c r="B237" s="1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</row>
    <row r="238" spans="1:14" ht="12.75" customHeight="1">
      <c r="A238" s="8"/>
      <c r="B238" s="17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1:14" ht="12.75" customHeight="1">
      <c r="A239" s="8"/>
      <c r="B239" s="1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</row>
    <row r="240" spans="1:14" ht="12.75" customHeight="1">
      <c r="A240" s="8"/>
      <c r="B240" s="17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1:14" ht="12.75" customHeight="1">
      <c r="A241" s="8"/>
      <c r="B241" s="1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</row>
    <row r="242" spans="1:14" ht="12.75" customHeight="1">
      <c r="A242" s="8"/>
      <c r="B242" s="17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</row>
    <row r="243" spans="1:14" ht="12.75" customHeight="1">
      <c r="A243" s="8"/>
      <c r="B243" s="1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</row>
    <row r="244" spans="1:14" ht="12.75" customHeight="1">
      <c r="A244" s="8"/>
      <c r="B244" s="17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</row>
    <row r="245" spans="1:14" ht="12.75" customHeight="1">
      <c r="A245" s="8"/>
      <c r="B245" s="1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</row>
    <row r="246" spans="1:14" ht="12.75" customHeight="1">
      <c r="A246" s="8"/>
      <c r="B246" s="17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</row>
    <row r="247" spans="1:14" ht="12.75" customHeight="1">
      <c r="A247" s="8"/>
      <c r="B247" s="1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1:14" ht="12.75" customHeight="1">
      <c r="A248" s="8"/>
      <c r="B248" s="17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</row>
    <row r="249" spans="1:14" ht="12.75" customHeight="1">
      <c r="A249" s="8"/>
      <c r="B249" s="1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1:14" ht="12.75" customHeight="1">
      <c r="A250" s="8"/>
      <c r="B250" s="17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</row>
    <row r="251" spans="1:14" ht="12.75" customHeight="1">
      <c r="A251" s="8"/>
      <c r="B251" s="17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</row>
    <row r="252" spans="1:14" ht="12.75" customHeight="1">
      <c r="A252" s="8"/>
      <c r="B252" s="17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</row>
    <row r="253" spans="1:14" ht="12.75" customHeight="1">
      <c r="A253" s="8"/>
      <c r="B253" s="1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</row>
    <row r="254" spans="1:14" ht="12.75" customHeight="1">
      <c r="A254" s="8"/>
      <c r="B254" s="17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</row>
    <row r="255" spans="1:14" ht="12.75" customHeight="1">
      <c r="A255" s="8"/>
      <c r="B255" s="17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</row>
    <row r="256" spans="1:14" ht="12.75" customHeight="1">
      <c r="A256" s="8"/>
      <c r="B256" s="17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1:14" ht="12.75" customHeight="1">
      <c r="A257" s="8"/>
      <c r="B257" s="1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</row>
    <row r="258" spans="1:14" ht="12.75" customHeight="1">
      <c r="A258" s="8"/>
      <c r="B258" s="17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1:14" ht="12.75" customHeight="1">
      <c r="A259" s="8"/>
      <c r="B259" s="1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</row>
    <row r="260" spans="1:14" ht="12.75" customHeight="1">
      <c r="A260" s="8"/>
      <c r="B260" s="17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</row>
    <row r="261" spans="1:14" ht="12.75" customHeight="1">
      <c r="A261" s="8"/>
      <c r="B261" s="17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</row>
    <row r="262" spans="1:14" ht="12.75" customHeight="1">
      <c r="A262" s="8"/>
      <c r="B262" s="17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</row>
    <row r="263" spans="1:14" ht="12.75" customHeight="1">
      <c r="A263" s="8"/>
      <c r="B263" s="1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</row>
    <row r="264" spans="1:14" ht="12.75" customHeight="1">
      <c r="A264" s="8"/>
      <c r="B264" s="17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</row>
    <row r="265" spans="1:14" ht="12.75" customHeight="1">
      <c r="A265" s="8"/>
      <c r="B265" s="1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1:14" ht="12.75" customHeight="1">
      <c r="A266" s="8"/>
      <c r="B266" s="17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</row>
    <row r="267" spans="1:14" ht="12.75" customHeight="1">
      <c r="A267" s="8"/>
      <c r="B267" s="1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1:14" ht="12.75" customHeight="1">
      <c r="A268" s="8"/>
      <c r="B268" s="17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</row>
    <row r="269" spans="1:14" ht="12.75" customHeight="1">
      <c r="A269" s="8"/>
      <c r="B269" s="17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</row>
    <row r="270" spans="1:14" ht="12.75" customHeight="1">
      <c r="A270" s="8"/>
      <c r="B270" s="17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</row>
    <row r="271" spans="1:14" ht="12.75" customHeight="1">
      <c r="A271" s="8"/>
      <c r="B271" s="17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</row>
    <row r="272" spans="1:14" ht="12.75" customHeight="1">
      <c r="A272" s="8"/>
      <c r="B272" s="17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</row>
    <row r="273" spans="1:14" ht="12.75" customHeight="1">
      <c r="A273" s="8"/>
      <c r="B273" s="1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</row>
    <row r="274" spans="1:14" ht="12.75" customHeight="1">
      <c r="A274" s="8"/>
      <c r="B274" s="17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1:14" ht="12.75" customHeight="1">
      <c r="A275" s="8"/>
      <c r="B275" s="17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</row>
    <row r="276" spans="1:14" ht="12.75" customHeight="1">
      <c r="A276" s="8"/>
      <c r="B276" s="17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1:14" ht="12.75" customHeight="1">
      <c r="A277" s="8"/>
      <c r="B277" s="1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</row>
    <row r="278" spans="1:14" ht="12.75" customHeight="1">
      <c r="A278" s="8"/>
      <c r="B278" s="17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</row>
    <row r="279" spans="1:14" ht="12.75" customHeight="1">
      <c r="A279" s="8"/>
      <c r="B279" s="1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</row>
    <row r="280" spans="1:14" ht="12.75" customHeight="1">
      <c r="A280" s="8"/>
      <c r="B280" s="17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</row>
    <row r="281" spans="1:14" ht="12.75" customHeight="1">
      <c r="A281" s="8"/>
      <c r="B281" s="17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</row>
    <row r="282" spans="1:14" ht="12.75" customHeight="1">
      <c r="A282" s="8"/>
      <c r="B282" s="17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</row>
    <row r="283" spans="1:14" ht="12.75" customHeight="1">
      <c r="A283" s="8"/>
      <c r="B283" s="17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1:14" ht="12.75" customHeight="1">
      <c r="A284" s="8"/>
      <c r="B284" s="17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</row>
    <row r="285" spans="1:14" ht="12.75" customHeight="1">
      <c r="A285" s="8"/>
      <c r="B285" s="17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1:14" ht="12.75" customHeight="1">
      <c r="A286" s="8"/>
      <c r="B286" s="17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</row>
    <row r="287" spans="1:14" ht="12.75" customHeight="1">
      <c r="A287" s="8"/>
      <c r="B287" s="17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</row>
    <row r="288" spans="1:14" ht="12.75" customHeight="1">
      <c r="A288" s="8"/>
      <c r="B288" s="17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</row>
    <row r="289" spans="1:14" ht="12.75" customHeight="1">
      <c r="A289" s="8"/>
      <c r="B289" s="17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</row>
    <row r="290" spans="1:14" ht="12.75" customHeight="1">
      <c r="A290" s="8"/>
      <c r="B290" s="17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</row>
    <row r="291" spans="1:14" ht="12.75" customHeight="1">
      <c r="A291" s="8"/>
      <c r="B291" s="17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</row>
    <row r="292" spans="1:14" ht="12.75" customHeight="1">
      <c r="A292" s="8"/>
      <c r="B292" s="17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1:14" ht="12.75" customHeight="1">
      <c r="A293" s="8"/>
      <c r="B293" s="1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</row>
    <row r="294" spans="1:14" ht="12.75" customHeight="1">
      <c r="A294" s="8"/>
      <c r="B294" s="17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1:14" ht="12.75" customHeight="1">
      <c r="A295" s="8"/>
      <c r="B295" s="17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</row>
    <row r="296" spans="1:14" ht="12.75" customHeight="1">
      <c r="A296" s="8"/>
      <c r="B296" s="17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</row>
    <row r="297" spans="1:14" ht="12.75" customHeight="1">
      <c r="A297" s="8"/>
      <c r="B297" s="1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</row>
    <row r="298" spans="1:14" ht="12.75" customHeight="1">
      <c r="A298" s="8"/>
      <c r="B298" s="17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</row>
    <row r="299" spans="1:14" ht="12.75" customHeight="1">
      <c r="A299" s="8"/>
      <c r="B299" s="17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</row>
    <row r="300" spans="1:14" ht="12.75" customHeight="1">
      <c r="A300" s="8"/>
      <c r="B300" s="17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</row>
    <row r="301" spans="1:14" ht="12.75" customHeight="1">
      <c r="A301" s="8"/>
      <c r="B301" s="17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</row>
    <row r="302" spans="1:14" ht="12.75" customHeight="1">
      <c r="A302" s="8"/>
      <c r="B302" s="17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</row>
    <row r="303" spans="1:14" ht="12.75" customHeight="1">
      <c r="A303" s="8"/>
      <c r="B303" s="17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</row>
    <row r="304" spans="1:14" ht="12.75" customHeight="1">
      <c r="A304" s="8"/>
      <c r="B304" s="17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</row>
    <row r="305" spans="1:14" ht="12.75" customHeight="1">
      <c r="A305" s="8"/>
      <c r="B305" s="17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</row>
    <row r="306" spans="1:14" ht="12.75" customHeight="1">
      <c r="A306" s="8"/>
      <c r="B306" s="17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</row>
    <row r="307" spans="1:14" ht="12.75" customHeight="1">
      <c r="A307" s="8"/>
      <c r="B307" s="17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1:14" ht="12.75" customHeight="1">
      <c r="A308" s="8"/>
      <c r="B308" s="17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</row>
    <row r="309" spans="1:14" ht="12.75" customHeight="1">
      <c r="A309" s="8"/>
      <c r="B309" s="17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1:14" ht="12.75" customHeight="1">
      <c r="A310" s="8"/>
      <c r="B310" s="17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</row>
    <row r="311" spans="1:14" ht="12.75" customHeight="1">
      <c r="A311" s="8"/>
      <c r="B311" s="17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</row>
    <row r="312" spans="1:14" ht="12.75" customHeight="1">
      <c r="A312" s="8"/>
      <c r="B312" s="17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</row>
    <row r="313" spans="1:14" ht="12.75" customHeight="1">
      <c r="A313" s="8"/>
      <c r="B313" s="17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</row>
    <row r="314" spans="1:14" ht="12.75" customHeight="1">
      <c r="A314" s="8"/>
      <c r="B314" s="17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</row>
    <row r="315" spans="1:14" ht="12.75" customHeight="1">
      <c r="A315" s="8"/>
      <c r="B315" s="17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</row>
    <row r="316" spans="1:14" ht="12.75" customHeight="1">
      <c r="A316" s="8"/>
      <c r="B316" s="17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</row>
    <row r="317" spans="1:14" ht="12.75" customHeight="1">
      <c r="A317" s="8"/>
      <c r="B317" s="17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1:14" ht="12.75" customHeight="1">
      <c r="A318" s="8"/>
      <c r="B318" s="17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</row>
    <row r="319" spans="1:14" ht="12.75" customHeight="1">
      <c r="A319" s="8"/>
      <c r="B319" s="17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1:14" ht="12.75" customHeight="1">
      <c r="A320" s="8"/>
      <c r="B320" s="17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</row>
    <row r="321" spans="1:14" ht="12.75" customHeight="1">
      <c r="A321" s="8"/>
      <c r="B321" s="17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</row>
    <row r="322" spans="1:14" ht="12.75" customHeight="1">
      <c r="A322" s="8"/>
      <c r="B322" s="17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</row>
    <row r="323" spans="1:14" ht="12.75" customHeight="1">
      <c r="A323" s="8"/>
      <c r="B323" s="17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</row>
    <row r="324" spans="1:14" ht="12.75" customHeight="1">
      <c r="A324" s="8"/>
      <c r="B324" s="17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</row>
    <row r="325" spans="1:14" ht="12.75" customHeight="1">
      <c r="A325" s="8"/>
      <c r="B325" s="17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</row>
    <row r="326" spans="1:14" ht="12.75" customHeight="1">
      <c r="A326" s="8"/>
      <c r="B326" s="17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1:14" ht="12.75" customHeight="1">
      <c r="A327" s="8"/>
      <c r="B327" s="1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</row>
    <row r="328" spans="1:14" ht="12.75" customHeight="1">
      <c r="A328" s="8"/>
      <c r="B328" s="17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1:14" ht="12.75" customHeight="1">
      <c r="A329" s="8"/>
      <c r="B329" s="17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</row>
    <row r="330" spans="1:14" ht="12.75" customHeight="1">
      <c r="A330" s="8"/>
      <c r="B330" s="17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</row>
    <row r="331" spans="1:14" ht="12.75" customHeight="1">
      <c r="A331" s="8"/>
      <c r="B331" s="17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</row>
    <row r="332" spans="1:14" ht="12.75" customHeight="1">
      <c r="A332" s="8"/>
      <c r="B332" s="17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</row>
    <row r="333" spans="1:14" ht="12.75" customHeight="1">
      <c r="A333" s="8"/>
      <c r="B333" s="1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</row>
    <row r="334" spans="1:14" ht="12.75" customHeight="1">
      <c r="A334" s="8"/>
      <c r="B334" s="17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</row>
    <row r="335" spans="1:14" ht="12.75" customHeight="1">
      <c r="A335" s="8"/>
      <c r="B335" s="1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</row>
    <row r="336" spans="1:14" ht="12.75" customHeight="1">
      <c r="A336" s="8"/>
      <c r="B336" s="17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1:14" ht="12.75" customHeight="1">
      <c r="A337" s="8"/>
      <c r="B337" s="17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</row>
    <row r="338" spans="1:14" ht="12.75" customHeight="1">
      <c r="A338" s="8"/>
      <c r="B338" s="17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1:14" ht="12.75" customHeight="1">
      <c r="A339" s="8"/>
      <c r="B339" s="17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</row>
    <row r="340" spans="1:14" ht="12.75" customHeight="1">
      <c r="A340" s="8"/>
      <c r="B340" s="17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</row>
    <row r="341" spans="1:14" ht="12.75" customHeight="1">
      <c r="A341" s="8"/>
      <c r="B341" s="17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</row>
    <row r="342" spans="1:14" ht="12.75" customHeight="1">
      <c r="A342" s="8"/>
      <c r="B342" s="17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</row>
    <row r="343" spans="1:14" ht="12.75" customHeight="1">
      <c r="A343" s="8"/>
      <c r="B343" s="17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</row>
    <row r="344" spans="1:14" ht="12.75" customHeight="1">
      <c r="A344" s="8"/>
      <c r="B344" s="17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</row>
    <row r="345" spans="1:14" ht="12.75" customHeight="1">
      <c r="A345" s="8"/>
      <c r="B345" s="17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</row>
    <row r="346" spans="1:14" ht="12.75" customHeight="1">
      <c r="A346" s="8"/>
      <c r="B346" s="17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1:14" ht="12.75" customHeight="1">
      <c r="A347" s="8"/>
      <c r="B347" s="17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</row>
    <row r="348" spans="1:14" ht="12.75" customHeight="1">
      <c r="A348" s="8"/>
      <c r="B348" s="17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1:14" ht="12.75" customHeight="1">
      <c r="A349" s="8"/>
      <c r="B349" s="17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</row>
    <row r="350" spans="1:14" ht="12.75" customHeight="1">
      <c r="A350" s="8"/>
      <c r="B350" s="17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</row>
    <row r="351" spans="1:14" ht="12.75" customHeight="1">
      <c r="A351" s="8"/>
      <c r="B351" s="17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</row>
    <row r="352" spans="1:14" ht="12.75" customHeight="1">
      <c r="A352" s="8"/>
      <c r="B352" s="17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</row>
    <row r="353" spans="1:14" ht="12.75" customHeight="1">
      <c r="A353" s="8"/>
      <c r="B353" s="17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</row>
    <row r="354" spans="1:14" ht="12.75" customHeight="1">
      <c r="A354" s="8"/>
      <c r="B354" s="17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</row>
    <row r="355" spans="1:14" ht="12.75" customHeight="1">
      <c r="A355" s="8"/>
      <c r="B355" s="17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</row>
    <row r="356" spans="1:14" ht="12.75" customHeight="1">
      <c r="A356" s="8"/>
      <c r="B356" s="17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1:14" ht="12.75" customHeight="1">
      <c r="A357" s="8"/>
      <c r="B357" s="17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</row>
    <row r="358" spans="1:14" ht="12.75" customHeight="1">
      <c r="A358" s="8"/>
      <c r="B358" s="17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1:14" ht="12.75" customHeight="1">
      <c r="A359" s="8"/>
      <c r="B359" s="17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</row>
    <row r="360" spans="1:14" ht="12.75" customHeight="1">
      <c r="A360" s="8"/>
      <c r="B360" s="17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</row>
    <row r="361" spans="1:14" ht="12.75" customHeight="1">
      <c r="A361" s="8"/>
      <c r="B361" s="17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</row>
    <row r="362" spans="1:14" ht="12.75" customHeight="1">
      <c r="A362" s="8"/>
      <c r="B362" s="17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</row>
    <row r="363" spans="1:14" ht="12.75" customHeight="1">
      <c r="A363" s="8"/>
      <c r="B363" s="17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</row>
    <row r="364" spans="1:14" ht="12.75" customHeight="1">
      <c r="A364" s="8"/>
      <c r="B364" s="17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</row>
    <row r="365" spans="1:14" ht="12.75" customHeight="1">
      <c r="A365" s="8"/>
      <c r="B365" s="17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</row>
    <row r="366" spans="1:14" ht="12.75" customHeight="1">
      <c r="A366" s="8"/>
      <c r="B366" s="17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1:14" ht="12.75" customHeight="1">
      <c r="A367" s="8"/>
      <c r="B367" s="17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</row>
    <row r="368" spans="1:14" ht="12.75" customHeight="1">
      <c r="A368" s="8"/>
      <c r="B368" s="17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1:14" ht="12.75" customHeight="1">
      <c r="A369" s="8"/>
      <c r="B369" s="17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</row>
    <row r="370" spans="1:14" ht="12.75" customHeight="1">
      <c r="A370" s="8"/>
      <c r="B370" s="17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</row>
    <row r="371" spans="1:14" ht="12.75" customHeight="1">
      <c r="A371" s="8"/>
      <c r="B371" s="17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</row>
    <row r="372" spans="1:14" ht="12.75" customHeight="1">
      <c r="A372" s="8"/>
      <c r="B372" s="17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</row>
    <row r="373" spans="1:14" ht="12.75" customHeight="1">
      <c r="A373" s="8"/>
      <c r="B373" s="1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</row>
    <row r="374" spans="1:14" ht="12.75" customHeight="1">
      <c r="A374" s="8"/>
      <c r="B374" s="17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</row>
    <row r="375" spans="1:14" ht="12.75" customHeight="1">
      <c r="A375" s="8"/>
      <c r="B375" s="17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</row>
    <row r="376" spans="1:14" ht="12.75" customHeight="1">
      <c r="A376" s="8"/>
      <c r="B376" s="17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1:14" ht="12.75" customHeight="1">
      <c r="A377" s="8"/>
      <c r="B377" s="17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</row>
    <row r="378" spans="1:14" ht="12.75" customHeight="1">
      <c r="A378" s="8"/>
      <c r="B378" s="17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1:14" ht="12.75" customHeight="1">
      <c r="A379" s="8"/>
      <c r="B379" s="17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1:14" ht="12.75" customHeight="1">
      <c r="A380" s="8"/>
      <c r="B380" s="17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1:14" ht="12.75" customHeight="1">
      <c r="A381" s="8"/>
      <c r="B381" s="17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1:14" ht="12.75" customHeight="1">
      <c r="A382" s="8"/>
      <c r="B382" s="17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1:14" ht="12.75" customHeight="1">
      <c r="A383" s="8"/>
      <c r="B383" s="1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1:14" ht="12.75" customHeight="1">
      <c r="A384" s="8"/>
      <c r="B384" s="17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1:14" ht="12.75" customHeight="1">
      <c r="A385" s="8"/>
      <c r="B385" s="17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1:14" ht="12.75" customHeight="1">
      <c r="A386" s="8"/>
      <c r="B386" s="17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1:14" ht="12.75" customHeight="1">
      <c r="A387" s="8"/>
      <c r="B387" s="17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 ht="12.75" customHeight="1">
      <c r="A388" s="8"/>
      <c r="B388" s="17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1:14" ht="12.75" customHeight="1">
      <c r="A389" s="8"/>
      <c r="B389" s="17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1:14" ht="12.75" customHeight="1">
      <c r="A390" s="8"/>
      <c r="B390" s="17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1:14" ht="12.75" customHeight="1">
      <c r="A391" s="8"/>
      <c r="B391" s="17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1:14" ht="12.75" customHeight="1">
      <c r="A392" s="8"/>
      <c r="B392" s="17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1:14" ht="12.75" customHeight="1">
      <c r="A393" s="8"/>
      <c r="B393" s="17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1:14" ht="12.75" customHeight="1">
      <c r="A394" s="8"/>
      <c r="B394" s="17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1:14" ht="12.75" customHeight="1">
      <c r="A395" s="8"/>
      <c r="B395" s="17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1:14" ht="12.75" customHeight="1">
      <c r="A396" s="8"/>
      <c r="B396" s="17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1:14" ht="12.75" customHeight="1">
      <c r="A397" s="8"/>
      <c r="B397" s="17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1:14" ht="12.75" customHeight="1">
      <c r="A398" s="8"/>
      <c r="B398" s="17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1:14" ht="12.75" customHeight="1">
      <c r="A399" s="8"/>
      <c r="B399" s="17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1:14" ht="12.75" customHeight="1">
      <c r="A400" s="8"/>
      <c r="B400" s="17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1:14" ht="12.75" customHeight="1">
      <c r="A401" s="8"/>
      <c r="B401" s="1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1:14" ht="12.75" customHeight="1">
      <c r="A402" s="8"/>
      <c r="B402" s="17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1:14" ht="12.75" customHeight="1">
      <c r="A403" s="8"/>
      <c r="B403" s="17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1:14" ht="12.75" customHeight="1">
      <c r="A404" s="8"/>
      <c r="B404" s="17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1:14" ht="12.75" customHeight="1">
      <c r="A405" s="8"/>
      <c r="B405" s="17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1:14" ht="12.75" customHeight="1">
      <c r="A406" s="8"/>
      <c r="B406" s="17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1:14" ht="12.75" customHeight="1">
      <c r="A407" s="8"/>
      <c r="B407" s="17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1:14" ht="12.75" customHeight="1">
      <c r="A408" s="8"/>
      <c r="B408" s="17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1:14" ht="12.75" customHeight="1">
      <c r="A409" s="8"/>
      <c r="B409" s="17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1:14" ht="12.75" customHeight="1">
      <c r="A410" s="8"/>
      <c r="B410" s="17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1:14" ht="12.75" customHeight="1">
      <c r="A411" s="8"/>
      <c r="B411" s="17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1:14" ht="12.75" customHeight="1">
      <c r="A412" s="8"/>
      <c r="B412" s="17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1:14" ht="12.75" customHeight="1">
      <c r="A413" s="8"/>
      <c r="B413" s="17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1:14" ht="12.75" customHeight="1">
      <c r="A414" s="8"/>
      <c r="B414" s="17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1:14" ht="12.75" customHeight="1">
      <c r="A415" s="8"/>
      <c r="B415" s="17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1:14" ht="12.75" customHeight="1">
      <c r="A416" s="8"/>
      <c r="B416" s="17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1:14" ht="12.75" customHeight="1">
      <c r="A417" s="8"/>
      <c r="B417" s="17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1:14" ht="12.75" customHeight="1">
      <c r="A418" s="8"/>
      <c r="B418" s="17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1:14" ht="12.75" customHeight="1">
      <c r="A419" s="8"/>
      <c r="B419" s="17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 ht="12.75" customHeight="1">
      <c r="A420" s="8"/>
      <c r="B420" s="17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1:14" ht="12.75" customHeight="1">
      <c r="A421" s="8"/>
      <c r="B421" s="17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1:14" ht="12.75" customHeight="1">
      <c r="A422" s="8"/>
      <c r="B422" s="17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1:14" ht="12.75" customHeight="1">
      <c r="A423" s="8"/>
      <c r="B423" s="17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1:14" ht="12.75" customHeight="1">
      <c r="A424" s="8"/>
      <c r="B424" s="17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1:14" ht="12.75" customHeight="1">
      <c r="A425" s="8"/>
      <c r="B425" s="17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1:14" ht="12.75" customHeight="1">
      <c r="A426" s="8"/>
      <c r="B426" s="17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1:14" ht="12.75" customHeight="1">
      <c r="A427" s="8"/>
      <c r="B427" s="17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1:14" ht="12.75" customHeight="1">
      <c r="A428" s="8"/>
      <c r="B428" s="17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1:14" ht="12.75" customHeight="1">
      <c r="A429" s="8"/>
      <c r="B429" s="17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 ht="12.75" customHeight="1">
      <c r="A430" s="8"/>
      <c r="B430" s="17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1:14" ht="12.75" customHeight="1">
      <c r="A431" s="8"/>
      <c r="B431" s="17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1:14" ht="12.75" customHeight="1">
      <c r="A432" s="8"/>
      <c r="B432" s="17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1:14" ht="12.75" customHeight="1">
      <c r="A433" s="8"/>
      <c r="B433" s="17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1:14" ht="12.75" customHeight="1">
      <c r="A434" s="8"/>
      <c r="B434" s="17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1:14" ht="12.75" customHeight="1">
      <c r="A435" s="8"/>
      <c r="B435" s="17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1:14" ht="12.75" customHeight="1">
      <c r="A436" s="8"/>
      <c r="B436" s="17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1:14" ht="12.75" customHeight="1">
      <c r="A437" s="8"/>
      <c r="B437" s="17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1:14" ht="12.75" customHeight="1">
      <c r="A438" s="8"/>
      <c r="B438" s="17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1:14" ht="12.75" customHeight="1">
      <c r="A439" s="8"/>
      <c r="B439" s="17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1:14" ht="12.75" customHeight="1">
      <c r="A440" s="8"/>
      <c r="B440" s="17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1:14" ht="12.75" customHeight="1">
      <c r="A441" s="8"/>
      <c r="B441" s="17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1:14" ht="12.75" customHeight="1">
      <c r="A442" s="8"/>
      <c r="B442" s="17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1:14" ht="12.75" customHeight="1">
      <c r="A443" s="8"/>
      <c r="B443" s="17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1:14" ht="12.75" customHeight="1">
      <c r="A444" s="8"/>
      <c r="B444" s="17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1:14" ht="12.75" customHeight="1">
      <c r="A445" s="8"/>
      <c r="B445" s="17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 ht="12.75" customHeight="1">
      <c r="A446" s="8"/>
      <c r="B446" s="17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1:14" ht="12.75" customHeight="1">
      <c r="A447" s="8"/>
      <c r="B447" s="1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1:14" ht="12.75" customHeight="1">
      <c r="A448" s="8"/>
      <c r="B448" s="17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1:14" ht="12.75" customHeight="1">
      <c r="A449" s="8"/>
      <c r="B449" s="17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1:14" ht="12.75" customHeight="1">
      <c r="A450" s="8"/>
      <c r="B450" s="17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1:14" ht="12.75" customHeight="1">
      <c r="A451" s="8"/>
      <c r="B451" s="1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1:14" ht="12.75" customHeight="1">
      <c r="A452" s="8"/>
      <c r="B452" s="17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1:14" ht="12.75" customHeight="1">
      <c r="A453" s="8"/>
      <c r="B453" s="17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1:14" ht="12.75" customHeight="1">
      <c r="A454" s="8"/>
      <c r="B454" s="17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1:14" ht="12.75" customHeight="1">
      <c r="A455" s="8"/>
      <c r="B455" s="17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1:14" ht="12.75" customHeight="1">
      <c r="A456" s="8"/>
      <c r="B456" s="17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1:14" ht="12.75" customHeight="1">
      <c r="A457" s="8"/>
      <c r="B457" s="17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1:14" ht="12.75" customHeight="1">
      <c r="A458" s="8"/>
      <c r="B458" s="17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1:14" ht="12.75" customHeight="1">
      <c r="A459" s="8"/>
      <c r="B459" s="17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1:14" ht="12.75" customHeight="1">
      <c r="A460" s="8"/>
      <c r="B460" s="17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1:14" ht="12.75" customHeight="1">
      <c r="A461" s="8"/>
      <c r="B461" s="17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1:14" ht="12.75" customHeight="1">
      <c r="A462" s="8"/>
      <c r="B462" s="17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1:14" ht="12.75" customHeight="1">
      <c r="A463" s="8"/>
      <c r="B463" s="17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1:14" ht="12.75" customHeight="1">
      <c r="A464" s="8"/>
      <c r="B464" s="17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1:14" ht="12.75" customHeight="1">
      <c r="A465" s="8"/>
      <c r="B465" s="1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1:14" ht="12.75" customHeight="1">
      <c r="A466" s="8"/>
      <c r="B466" s="17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1:14" ht="12.75" customHeight="1">
      <c r="A467" s="8"/>
      <c r="B467" s="17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1:14" ht="12.75" customHeight="1">
      <c r="A468" s="8"/>
      <c r="B468" s="17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1:14" ht="12.75" customHeight="1">
      <c r="A469" s="8"/>
      <c r="B469" s="1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1:14" ht="12.75" customHeight="1">
      <c r="A470" s="8"/>
      <c r="B470" s="17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1:14" ht="12.75" customHeight="1">
      <c r="A471" s="8"/>
      <c r="B471" s="17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1:14" ht="12.75" customHeight="1">
      <c r="A472" s="8"/>
      <c r="B472" s="17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1:14" ht="12.75" customHeight="1">
      <c r="A473" s="8"/>
      <c r="B473" s="17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1:14" ht="12.75" customHeight="1">
      <c r="A474" s="8"/>
      <c r="B474" s="17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1:14" ht="12.75" customHeight="1">
      <c r="A475" s="8"/>
      <c r="B475" s="17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1:14" ht="12.75" customHeight="1">
      <c r="A476" s="8"/>
      <c r="B476" s="17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1:14" ht="12.75" customHeight="1">
      <c r="A477" s="8"/>
      <c r="B477" s="1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1:14" ht="12.75" customHeight="1">
      <c r="A478" s="8"/>
      <c r="B478" s="17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1:14" ht="12.75" customHeight="1">
      <c r="A479" s="8"/>
      <c r="B479" s="17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1:14" ht="12.75" customHeight="1">
      <c r="A480" s="8"/>
      <c r="B480" s="17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1:14" ht="12.75" customHeight="1">
      <c r="A481" s="8"/>
      <c r="B481" s="17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1:14" ht="12.75" customHeight="1">
      <c r="A482" s="8"/>
      <c r="B482" s="17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1:14" ht="12.75" customHeight="1">
      <c r="A483" s="8"/>
      <c r="B483" s="17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1:14" ht="12.75" customHeight="1">
      <c r="A484" s="8"/>
      <c r="B484" s="17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1:14" ht="12.75" customHeight="1">
      <c r="A485" s="8"/>
      <c r="B485" s="17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1:14" ht="12.75" customHeight="1">
      <c r="A486" s="8"/>
      <c r="B486" s="17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1:14" ht="12.75" customHeight="1">
      <c r="A487" s="8"/>
      <c r="B487" s="17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1:14" ht="12.75" customHeight="1">
      <c r="A488" s="8"/>
      <c r="B488" s="17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1:14" ht="12.75" customHeight="1">
      <c r="A489" s="8"/>
      <c r="B489" s="17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1:14" ht="12.75" customHeight="1">
      <c r="A490" s="8"/>
      <c r="B490" s="17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1:14" ht="12.75" customHeight="1">
      <c r="A491" s="8"/>
      <c r="B491" s="17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1:14" ht="12.75" customHeight="1">
      <c r="A492" s="8"/>
      <c r="B492" s="17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1:14" ht="12.75" customHeight="1">
      <c r="A493" s="8"/>
      <c r="B493" s="17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1:14" ht="12.75" customHeight="1">
      <c r="A494" s="8"/>
      <c r="B494" s="17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1:14" ht="12.75" customHeight="1">
      <c r="A495" s="8"/>
      <c r="B495" s="17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1:14" ht="12.75" customHeight="1">
      <c r="A496" s="8"/>
      <c r="B496" s="17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1:14" ht="12.75" customHeight="1">
      <c r="A497" s="8"/>
      <c r="B497" s="17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1:14" ht="12.75" customHeight="1">
      <c r="A498" s="8"/>
      <c r="B498" s="17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1:14" ht="12.75" customHeight="1">
      <c r="A499" s="8"/>
      <c r="B499" s="17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1:14" ht="12.75" customHeight="1">
      <c r="A500" s="8"/>
      <c r="B500" s="17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1:14" ht="12.75" customHeight="1">
      <c r="A501" s="8"/>
      <c r="B501" s="17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1:14" ht="12.75" customHeight="1">
      <c r="A502" s="8"/>
      <c r="B502" s="17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1:14" ht="12.75" customHeight="1">
      <c r="A503" s="8"/>
      <c r="B503" s="17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1:14" ht="12.75" customHeight="1">
      <c r="A504" s="8"/>
      <c r="B504" s="17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1:14" ht="12.75" customHeight="1">
      <c r="A505" s="8"/>
      <c r="B505" s="17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1:14" ht="12.75" customHeight="1">
      <c r="A506" s="8"/>
      <c r="B506" s="17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1:14" ht="12.75" customHeight="1">
      <c r="A507" s="8"/>
      <c r="B507" s="17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1:14" ht="12.75" customHeight="1">
      <c r="A508" s="8"/>
      <c r="B508" s="17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1:14" ht="12.75" customHeight="1">
      <c r="A509" s="8"/>
      <c r="B509" s="17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1:14" ht="12.75" customHeight="1">
      <c r="A510" s="8"/>
      <c r="B510" s="17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1:14" ht="12.75" customHeight="1">
      <c r="A511" s="8"/>
      <c r="B511" s="17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1:14" ht="12.75" customHeight="1">
      <c r="A512" s="8"/>
      <c r="B512" s="17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1:14" ht="12.75" customHeight="1">
      <c r="A513" s="8"/>
      <c r="B513" s="17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1:14" ht="12.75" customHeight="1">
      <c r="A514" s="8"/>
      <c r="B514" s="17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1:14" ht="12.75" customHeight="1">
      <c r="A515" s="8"/>
      <c r="B515" s="17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1:14" ht="12.75" customHeight="1">
      <c r="A516" s="8"/>
      <c r="B516" s="17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1:14" ht="12.75" customHeight="1">
      <c r="A517" s="8"/>
      <c r="B517" s="17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1:14" ht="12.75" customHeight="1">
      <c r="A518" s="8"/>
      <c r="B518" s="17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1:14" ht="12.75" customHeight="1">
      <c r="A519" s="8"/>
      <c r="B519" s="17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1:14" ht="12.75" customHeight="1">
      <c r="A520" s="8"/>
      <c r="B520" s="17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1:14" ht="12.75" customHeight="1">
      <c r="A521" s="8"/>
      <c r="B521" s="17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1:14" ht="12.75" customHeight="1">
      <c r="A522" s="8"/>
      <c r="B522" s="17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1:14" ht="12.75" customHeight="1">
      <c r="A523" s="8"/>
      <c r="B523" s="17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1:14" ht="12.75" customHeight="1">
      <c r="A524" s="8"/>
      <c r="B524" s="17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1:14" ht="12.75" customHeight="1">
      <c r="A525" s="8"/>
      <c r="B525" s="17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1:14" ht="12.75" customHeight="1">
      <c r="A526" s="8"/>
      <c r="B526" s="17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1:14" ht="12.75" customHeight="1">
      <c r="A527" s="8"/>
      <c r="B527" s="17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1:14" ht="12.75" customHeight="1">
      <c r="A528" s="8"/>
      <c r="B528" s="17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1:14" ht="12.75" customHeight="1">
      <c r="A529" s="8"/>
      <c r="B529" s="17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1:14" ht="12.75" customHeight="1">
      <c r="A530" s="8"/>
      <c r="B530" s="17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1:14" ht="12.75" customHeight="1">
      <c r="A531" s="8"/>
      <c r="B531" s="17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1:14" ht="12.75" customHeight="1">
      <c r="A532" s="8"/>
      <c r="B532" s="17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1:14" ht="12.75" customHeight="1">
      <c r="A533" s="8"/>
      <c r="B533" s="17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1:14" ht="12.75" customHeight="1">
      <c r="A534" s="8"/>
      <c r="B534" s="17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1:14" ht="12.75" customHeight="1">
      <c r="A535" s="8"/>
      <c r="B535" s="17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1:14" ht="12.75" customHeight="1">
      <c r="A536" s="8"/>
      <c r="B536" s="17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1:14" ht="12.75" customHeight="1">
      <c r="A537" s="8"/>
      <c r="B537" s="17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1:14" ht="12.75" customHeight="1">
      <c r="A538" s="8"/>
      <c r="B538" s="17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1:14" ht="12.75" customHeight="1">
      <c r="A539" s="8"/>
      <c r="B539" s="17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1:14" ht="12.75" customHeight="1">
      <c r="A540" s="8"/>
      <c r="B540" s="17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1:14" ht="12.75" customHeight="1">
      <c r="A541" s="8"/>
      <c r="B541" s="17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1:14" ht="12.75" customHeight="1">
      <c r="A542" s="8"/>
      <c r="B542" s="17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1:14" ht="12.75" customHeight="1">
      <c r="A543" s="8"/>
      <c r="B543" s="17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1:14" ht="12.75" customHeight="1">
      <c r="A544" s="8"/>
      <c r="B544" s="17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1:14" ht="12.75" customHeight="1">
      <c r="A545" s="8"/>
      <c r="B545" s="17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1:14" ht="12.75" customHeight="1">
      <c r="A546" s="8"/>
      <c r="B546" s="17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1:14" ht="12.75" customHeight="1">
      <c r="A547" s="8"/>
      <c r="B547" s="17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1:14" ht="12.75" customHeight="1">
      <c r="A548" s="8"/>
      <c r="B548" s="17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1:14" ht="12.75" customHeight="1">
      <c r="A549" s="8"/>
      <c r="B549" s="17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1:14" ht="12.75" customHeight="1">
      <c r="A550" s="8"/>
      <c r="B550" s="17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1:14" ht="12.75" customHeight="1">
      <c r="A551" s="8"/>
      <c r="B551" s="17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1:14" ht="12.75" customHeight="1">
      <c r="A552" s="8"/>
      <c r="B552" s="17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1:14" ht="12.75" customHeight="1">
      <c r="A553" s="8"/>
      <c r="B553" s="17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1:14" ht="12.75" customHeight="1">
      <c r="A554" s="8"/>
      <c r="B554" s="17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1:14" ht="12.75" customHeight="1">
      <c r="A555" s="8"/>
      <c r="B555" s="17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1:14" ht="12.75" customHeight="1">
      <c r="A556" s="8"/>
      <c r="B556" s="17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1:14" ht="12.75" customHeight="1">
      <c r="A557" s="8"/>
      <c r="B557" s="17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1:14" ht="12.75" customHeight="1">
      <c r="A558" s="8"/>
      <c r="B558" s="17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1:14" ht="12.75" customHeight="1">
      <c r="A559" s="8"/>
      <c r="B559" s="17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1:14" ht="12.75" customHeight="1">
      <c r="A560" s="8"/>
      <c r="B560" s="17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1:14" ht="12.75" customHeight="1">
      <c r="A561" s="8"/>
      <c r="B561" s="17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1:14" ht="12.75" customHeight="1">
      <c r="A562" s="8"/>
      <c r="B562" s="17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1:14" ht="12.75" customHeight="1">
      <c r="A563" s="8"/>
      <c r="B563" s="17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1:14" ht="12.75" customHeight="1">
      <c r="A564" s="8"/>
      <c r="B564" s="17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1:14" ht="12.75" customHeight="1">
      <c r="A565" s="8"/>
      <c r="B565" s="17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1:14" ht="12.75" customHeight="1">
      <c r="A566" s="8"/>
      <c r="B566" s="17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1:14" ht="12.75" customHeight="1">
      <c r="A567" s="8"/>
      <c r="B567" s="17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1:14" ht="12.75" customHeight="1">
      <c r="A568" s="8"/>
      <c r="B568" s="17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1:14" ht="12.75" customHeight="1">
      <c r="A569" s="8"/>
      <c r="B569" s="17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1:14" ht="12.75" customHeight="1">
      <c r="A570" s="8"/>
      <c r="B570" s="17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1:14" ht="12.75" customHeight="1">
      <c r="A571" s="8"/>
      <c r="B571" s="17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1:14" ht="12.75" customHeight="1">
      <c r="A572" s="8"/>
      <c r="B572" s="17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1:14" ht="12.75" customHeight="1">
      <c r="A573" s="8"/>
      <c r="B573" s="17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1:14" ht="12.75" customHeight="1">
      <c r="A574" s="8"/>
      <c r="B574" s="17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1:14" ht="12.75" customHeight="1">
      <c r="A575" s="8"/>
      <c r="B575" s="17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1:14" ht="12.75" customHeight="1">
      <c r="A576" s="8"/>
      <c r="B576" s="17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1:14" ht="12.75" customHeight="1">
      <c r="A577" s="8"/>
      <c r="B577" s="17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1:14" ht="12.75" customHeight="1">
      <c r="A578" s="8"/>
      <c r="B578" s="17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1:14" ht="12.75" customHeight="1">
      <c r="A579" s="8"/>
      <c r="B579" s="17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1:14" ht="12.75" customHeight="1">
      <c r="A580" s="8"/>
      <c r="B580" s="17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1:14" ht="12.75" customHeight="1">
      <c r="A581" s="8"/>
      <c r="B581" s="17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1:14" ht="12.75" customHeight="1">
      <c r="A582" s="8"/>
      <c r="B582" s="17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1:14" ht="12.75" customHeight="1">
      <c r="A583" s="8"/>
      <c r="B583" s="17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1:14" ht="12.75" customHeight="1">
      <c r="A584" s="8"/>
      <c r="B584" s="17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1:14" ht="12.75" customHeight="1">
      <c r="A585" s="8"/>
      <c r="B585" s="17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1:14" ht="12.75" customHeight="1">
      <c r="A586" s="8"/>
      <c r="B586" s="17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1:14" ht="12.75" customHeight="1">
      <c r="A587" s="8"/>
      <c r="B587" s="17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1:14" ht="12.75" customHeight="1">
      <c r="A588" s="8"/>
      <c r="B588" s="17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1:14" ht="12.75" customHeight="1">
      <c r="A589" s="8"/>
      <c r="B589" s="17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1:14" ht="12.75" customHeight="1">
      <c r="A590" s="8"/>
      <c r="B590" s="17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1:14" ht="12.75" customHeight="1">
      <c r="A591" s="8"/>
      <c r="B591" s="17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1:14" ht="12.75" customHeight="1">
      <c r="A592" s="8"/>
      <c r="B592" s="17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1:14" ht="12.75" customHeight="1">
      <c r="A593" s="8"/>
      <c r="B593" s="17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1:14" ht="12.75" customHeight="1">
      <c r="A594" s="8"/>
      <c r="B594" s="17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 ht="12.75" customHeight="1">
      <c r="A595" s="8"/>
      <c r="B595" s="17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1:14" ht="12.75" customHeight="1">
      <c r="A596" s="8"/>
      <c r="B596" s="17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1:14" ht="12.75" customHeight="1">
      <c r="A597" s="8"/>
      <c r="B597" s="17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1:14" ht="12.75" customHeight="1">
      <c r="A598" s="8"/>
      <c r="B598" s="17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1:14" ht="12.75" customHeight="1">
      <c r="A599" s="8"/>
      <c r="B599" s="17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  <row r="600" spans="1:14" ht="12.75" customHeight="1">
      <c r="A600" s="8"/>
      <c r="B600" s="17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</row>
    <row r="601" spans="1:14" ht="12.75" customHeight="1">
      <c r="A601" s="8"/>
      <c r="B601" s="17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</row>
    <row r="602" spans="1:14" ht="12.75" customHeight="1">
      <c r="A602" s="8"/>
      <c r="B602" s="17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</row>
    <row r="603" spans="1:14" ht="12.75" customHeight="1">
      <c r="A603" s="8"/>
      <c r="B603" s="17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</row>
    <row r="604" spans="1:14" ht="12.75" customHeight="1">
      <c r="A604" s="8"/>
      <c r="B604" s="17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</row>
    <row r="605" spans="1:14" ht="12.75" customHeight="1">
      <c r="A605" s="8"/>
      <c r="B605" s="17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</row>
    <row r="606" spans="1:14" ht="12.75" customHeight="1">
      <c r="A606" s="8"/>
      <c r="B606" s="17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</row>
    <row r="607" spans="1:14" ht="12.75" customHeight="1">
      <c r="A607" s="8"/>
      <c r="B607" s="17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</row>
    <row r="608" spans="1:14" ht="12.75" customHeight="1">
      <c r="A608" s="8"/>
      <c r="B608" s="17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</row>
    <row r="609" spans="1:14" ht="12.75" customHeight="1">
      <c r="A609" s="8"/>
      <c r="B609" s="17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</row>
    <row r="610" spans="1:14" ht="12.75" customHeight="1">
      <c r="A610" s="8"/>
      <c r="B610" s="17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</row>
    <row r="611" spans="1:14" ht="12.75" customHeight="1">
      <c r="A611" s="8"/>
      <c r="B611" s="17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</row>
    <row r="612" spans="1:14" ht="12.75" customHeight="1">
      <c r="A612" s="8"/>
      <c r="B612" s="17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</row>
    <row r="613" spans="1:14" ht="12.75" customHeight="1">
      <c r="A613" s="8"/>
      <c r="B613" s="17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</row>
    <row r="614" spans="1:14" ht="12.75" customHeight="1">
      <c r="A614" s="8"/>
      <c r="B614" s="17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</row>
    <row r="615" spans="1:14" ht="12.75" customHeight="1">
      <c r="A615" s="8"/>
      <c r="B615" s="17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</row>
    <row r="616" spans="1:14" ht="12.75" customHeight="1">
      <c r="A616" s="8"/>
      <c r="B616" s="17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</row>
    <row r="617" spans="1:14" ht="12.75" customHeight="1">
      <c r="A617" s="8"/>
      <c r="B617" s="17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</row>
    <row r="618" spans="1:14" ht="12.75" customHeight="1">
      <c r="A618" s="8"/>
      <c r="B618" s="17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</row>
    <row r="619" spans="1:14" ht="12.75" customHeight="1">
      <c r="A619" s="8"/>
      <c r="B619" s="17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</row>
    <row r="620" spans="1:14" ht="12.75" customHeight="1">
      <c r="A620" s="8"/>
      <c r="B620" s="17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</row>
    <row r="621" spans="1:14" ht="12.75" customHeight="1">
      <c r="A621" s="8"/>
      <c r="B621" s="17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</row>
    <row r="622" spans="1:14" ht="12.75" customHeight="1">
      <c r="A622" s="8"/>
      <c r="B622" s="17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</row>
    <row r="623" spans="1:14" ht="12.75" customHeight="1">
      <c r="A623" s="8"/>
      <c r="B623" s="17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</row>
    <row r="624" spans="1:14" ht="12.75" customHeight="1">
      <c r="A624" s="8"/>
      <c r="B624" s="17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</row>
    <row r="625" spans="1:14" ht="12.75" customHeight="1">
      <c r="A625" s="8"/>
      <c r="B625" s="17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</row>
    <row r="626" spans="1:14" ht="12.75" customHeight="1">
      <c r="A626" s="8"/>
      <c r="B626" s="17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</row>
    <row r="627" spans="1:14" ht="12.75" customHeight="1">
      <c r="A627" s="8"/>
      <c r="B627" s="17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</row>
    <row r="628" spans="1:14" ht="12.75" customHeight="1">
      <c r="A628" s="8"/>
      <c r="B628" s="17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</row>
    <row r="629" spans="1:14" ht="12.75" customHeight="1">
      <c r="A629" s="8"/>
      <c r="B629" s="17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</row>
    <row r="630" spans="1:14" ht="12.75" customHeight="1">
      <c r="A630" s="8"/>
      <c r="B630" s="17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</row>
    <row r="631" spans="1:14" ht="12.75" customHeight="1">
      <c r="A631" s="8"/>
      <c r="B631" s="17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</row>
    <row r="632" spans="1:14" ht="12.75" customHeight="1">
      <c r="A632" s="8"/>
      <c r="B632" s="17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</row>
    <row r="633" spans="1:14" ht="12.75" customHeight="1">
      <c r="A633" s="8"/>
      <c r="B633" s="17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</row>
    <row r="634" spans="1:14" ht="12.75" customHeight="1">
      <c r="A634" s="8"/>
      <c r="B634" s="17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</row>
    <row r="635" spans="1:14" ht="12.75" customHeight="1">
      <c r="A635" s="8"/>
      <c r="B635" s="17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</row>
    <row r="636" spans="1:14" ht="12.75" customHeight="1">
      <c r="A636" s="8"/>
      <c r="B636" s="17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</row>
    <row r="637" spans="1:14" ht="12.75" customHeight="1">
      <c r="A637" s="8"/>
      <c r="B637" s="17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</row>
    <row r="638" spans="1:14" ht="12.75" customHeight="1">
      <c r="A638" s="8"/>
      <c r="B638" s="17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</row>
    <row r="639" spans="1:14" ht="12.75" customHeight="1">
      <c r="A639" s="8"/>
      <c r="B639" s="17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</row>
    <row r="640" spans="1:14" ht="12.75" customHeight="1">
      <c r="A640" s="8"/>
      <c r="B640" s="17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</row>
    <row r="641" spans="1:14" ht="12.75" customHeight="1">
      <c r="A641" s="8"/>
      <c r="B641" s="17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</row>
    <row r="642" spans="1:14" ht="12.75" customHeight="1">
      <c r="A642" s="8"/>
      <c r="B642" s="17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</row>
    <row r="643" spans="1:14" ht="12.75" customHeight="1">
      <c r="A643" s="8"/>
      <c r="B643" s="17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</row>
    <row r="644" spans="1:14" ht="12.75" customHeight="1">
      <c r="A644" s="8"/>
      <c r="B644" s="17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</row>
    <row r="645" spans="1:14" ht="12.75" customHeight="1">
      <c r="A645" s="8"/>
      <c r="B645" s="17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</row>
    <row r="646" spans="1:14" ht="12.75" customHeight="1">
      <c r="A646" s="8"/>
      <c r="B646" s="17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</row>
    <row r="647" spans="1:14" ht="12.75" customHeight="1">
      <c r="A647" s="8"/>
      <c r="B647" s="17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</row>
    <row r="648" spans="1:14" ht="12.75" customHeight="1">
      <c r="A648" s="8"/>
      <c r="B648" s="17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</row>
    <row r="649" spans="1:14" ht="12.75" customHeight="1">
      <c r="A649" s="8"/>
      <c r="B649" s="17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</row>
    <row r="650" spans="1:14" ht="12.75" customHeight="1">
      <c r="A650" s="8"/>
      <c r="B650" s="17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</row>
    <row r="651" spans="1:14" ht="12.75" customHeight="1">
      <c r="A651" s="8"/>
      <c r="B651" s="17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</row>
    <row r="652" spans="1:14" ht="12.75" customHeight="1">
      <c r="A652" s="8"/>
      <c r="B652" s="17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</row>
    <row r="653" spans="1:14" ht="12.75" customHeight="1">
      <c r="A653" s="8"/>
      <c r="B653" s="17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</row>
    <row r="654" spans="1:14" ht="12.75" customHeight="1">
      <c r="A654" s="8"/>
      <c r="B654" s="17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</row>
    <row r="655" spans="1:14" ht="12.75" customHeight="1">
      <c r="A655" s="8"/>
      <c r="B655" s="17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</row>
    <row r="656" spans="1:14" ht="12.75" customHeight="1">
      <c r="A656" s="8"/>
      <c r="B656" s="17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</row>
    <row r="657" spans="1:14" ht="12.75" customHeight="1">
      <c r="A657" s="8"/>
      <c r="B657" s="17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</row>
    <row r="658" spans="1:14" ht="12.75" customHeight="1">
      <c r="A658" s="8"/>
      <c r="B658" s="17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</row>
    <row r="659" spans="1:14" ht="12.75" customHeight="1">
      <c r="A659" s="8"/>
      <c r="B659" s="17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</row>
    <row r="660" spans="1:14" ht="12.75" customHeight="1">
      <c r="A660" s="8"/>
      <c r="B660" s="17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</row>
    <row r="661" spans="1:14" ht="12.75" customHeight="1">
      <c r="A661" s="8"/>
      <c r="B661" s="17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</row>
    <row r="662" spans="1:14" ht="12.75" customHeight="1">
      <c r="A662" s="8"/>
      <c r="B662" s="17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</row>
    <row r="663" spans="1:14" ht="12.75" customHeight="1">
      <c r="A663" s="8"/>
      <c r="B663" s="17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</row>
    <row r="664" spans="1:14" ht="12.75" customHeight="1">
      <c r="A664" s="8"/>
      <c r="B664" s="17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</row>
    <row r="665" spans="1:14" ht="12.75" customHeight="1">
      <c r="A665" s="8"/>
      <c r="B665" s="17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</row>
    <row r="666" spans="1:14" ht="12.75" customHeight="1">
      <c r="A666" s="8"/>
      <c r="B666" s="17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</row>
    <row r="667" spans="1:14" ht="12.75" customHeight="1">
      <c r="A667" s="8"/>
      <c r="B667" s="17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</row>
    <row r="668" spans="1:14" ht="12.75" customHeight="1">
      <c r="A668" s="8"/>
      <c r="B668" s="17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</row>
    <row r="669" spans="1:14" ht="12.75" customHeight="1">
      <c r="A669" s="8"/>
      <c r="B669" s="17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</row>
    <row r="670" spans="1:14" ht="12.75" customHeight="1">
      <c r="A670" s="8"/>
      <c r="B670" s="17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</row>
    <row r="671" spans="1:14" ht="12.75" customHeight="1">
      <c r="A671" s="8"/>
      <c r="B671" s="17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</row>
    <row r="672" spans="1:14" ht="12.75" customHeight="1">
      <c r="A672" s="8"/>
      <c r="B672" s="17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</row>
    <row r="673" spans="1:14" ht="12.75" customHeight="1">
      <c r="A673" s="8"/>
      <c r="B673" s="17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</row>
    <row r="674" spans="1:14" ht="12.75" customHeight="1">
      <c r="A674" s="8"/>
      <c r="B674" s="17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</row>
    <row r="675" spans="1:14" ht="12.75" customHeight="1">
      <c r="A675" s="8"/>
      <c r="B675" s="17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</row>
    <row r="676" spans="1:14" ht="12.75" customHeight="1">
      <c r="A676" s="8"/>
      <c r="B676" s="17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</row>
    <row r="677" spans="1:14" ht="12.75" customHeight="1">
      <c r="A677" s="8"/>
      <c r="B677" s="17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</row>
    <row r="678" spans="1:14" ht="12.75" customHeight="1">
      <c r="A678" s="8"/>
      <c r="B678" s="17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</row>
    <row r="679" spans="1:14" ht="12.75" customHeight="1">
      <c r="A679" s="8"/>
      <c r="B679" s="17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</row>
    <row r="680" spans="1:14" ht="12.75" customHeight="1">
      <c r="A680" s="8"/>
      <c r="B680" s="17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</row>
    <row r="681" spans="1:14" ht="12.75" customHeight="1">
      <c r="A681" s="8"/>
      <c r="B681" s="17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</row>
    <row r="682" spans="1:14" ht="12.75" customHeight="1">
      <c r="A682" s="8"/>
      <c r="B682" s="17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</row>
    <row r="683" spans="1:14" ht="12.75" customHeight="1">
      <c r="A683" s="8"/>
      <c r="B683" s="17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</row>
    <row r="684" spans="1:14" ht="12.75" customHeight="1">
      <c r="A684" s="8"/>
      <c r="B684" s="17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</row>
    <row r="685" spans="1:14" ht="12.75" customHeight="1">
      <c r="A685" s="8"/>
      <c r="B685" s="17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</row>
    <row r="686" spans="1:14" ht="12.75" customHeight="1">
      <c r="A686" s="8"/>
      <c r="B686" s="17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</row>
    <row r="687" spans="1:14" ht="12.75" customHeight="1">
      <c r="A687" s="8"/>
      <c r="B687" s="17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</row>
    <row r="688" spans="1:14" ht="12.75" customHeight="1">
      <c r="A688" s="8"/>
      <c r="B688" s="17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</row>
    <row r="689" spans="1:14" ht="12.75" customHeight="1">
      <c r="A689" s="8"/>
      <c r="B689" s="17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</row>
    <row r="690" spans="1:14" ht="12.75" customHeight="1">
      <c r="A690" s="8"/>
      <c r="B690" s="17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</row>
    <row r="691" spans="1:14" ht="12.75" customHeight="1">
      <c r="A691" s="8"/>
      <c r="B691" s="17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</row>
    <row r="692" spans="1:14" ht="12.75" customHeight="1">
      <c r="A692" s="8"/>
      <c r="B692" s="17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</row>
    <row r="693" spans="1:14" ht="12.75" customHeight="1">
      <c r="A693" s="8"/>
      <c r="B693" s="17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</row>
    <row r="694" spans="1:14" ht="12.75" customHeight="1">
      <c r="A694" s="8"/>
      <c r="B694" s="17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</row>
    <row r="695" spans="1:14" ht="12.75" customHeight="1">
      <c r="A695" s="8"/>
      <c r="B695" s="17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</row>
    <row r="696" spans="1:14" ht="12.75" customHeight="1">
      <c r="A696" s="8"/>
      <c r="B696" s="17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</row>
    <row r="697" spans="1:14" ht="12.75" customHeight="1">
      <c r="A697" s="8"/>
      <c r="B697" s="17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</row>
    <row r="698" spans="1:14" ht="12.75" customHeight="1">
      <c r="A698" s="8"/>
      <c r="B698" s="17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</row>
    <row r="699" spans="1:14" ht="12.75" customHeight="1">
      <c r="A699" s="8"/>
      <c r="B699" s="17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</row>
    <row r="700" spans="1:14" ht="12.75" customHeight="1">
      <c r="A700" s="8"/>
      <c r="B700" s="17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</row>
    <row r="701" spans="1:14" ht="12.75" customHeight="1">
      <c r="A701" s="8"/>
      <c r="B701" s="17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</row>
    <row r="702" spans="1:14" ht="12.75" customHeight="1">
      <c r="A702" s="8"/>
      <c r="B702" s="17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</row>
    <row r="703" spans="1:14" ht="12.75" customHeight="1">
      <c r="A703" s="8"/>
      <c r="B703" s="17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</row>
    <row r="704" spans="1:14" ht="12.75" customHeight="1">
      <c r="A704" s="8"/>
      <c r="B704" s="17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</row>
    <row r="705" spans="1:14" ht="12.75" customHeight="1">
      <c r="A705" s="8"/>
      <c r="B705" s="17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</row>
    <row r="706" spans="1:14" ht="12.75" customHeight="1">
      <c r="A706" s="8"/>
      <c r="B706" s="17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</row>
    <row r="707" spans="1:14" ht="12.75" customHeight="1">
      <c r="A707" s="8"/>
      <c r="B707" s="17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</row>
    <row r="708" spans="1:14" ht="12.75" customHeight="1">
      <c r="A708" s="8"/>
      <c r="B708" s="17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</row>
    <row r="709" spans="1:14" ht="12.75" customHeight="1">
      <c r="A709" s="8"/>
      <c r="B709" s="17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</row>
    <row r="710" spans="1:14" ht="12.75" customHeight="1">
      <c r="A710" s="8"/>
      <c r="B710" s="17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</row>
    <row r="711" spans="1:14" ht="12.75" customHeight="1">
      <c r="A711" s="8"/>
      <c r="B711" s="17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</row>
    <row r="712" spans="1:14" ht="12.75" customHeight="1">
      <c r="A712" s="8"/>
      <c r="B712" s="17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</row>
    <row r="713" spans="1:14" ht="12.75" customHeight="1">
      <c r="A713" s="8"/>
      <c r="B713" s="17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</row>
    <row r="714" spans="1:14" ht="12.75" customHeight="1">
      <c r="A714" s="8"/>
      <c r="B714" s="17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</row>
    <row r="715" spans="1:14" ht="12.75" customHeight="1">
      <c r="A715" s="8"/>
      <c r="B715" s="17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</row>
    <row r="716" spans="1:14" ht="12.75" customHeight="1">
      <c r="A716" s="8"/>
      <c r="B716" s="17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</row>
    <row r="717" spans="1:14" ht="12.75" customHeight="1">
      <c r="A717" s="8"/>
      <c r="B717" s="17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</row>
    <row r="718" spans="1:14" ht="12.75" customHeight="1">
      <c r="A718" s="8"/>
      <c r="B718" s="17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</row>
    <row r="719" spans="1:14" ht="12.75" customHeight="1">
      <c r="A719" s="8"/>
      <c r="B719" s="17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</row>
    <row r="720" spans="1:14" ht="12.75" customHeight="1">
      <c r="A720" s="8"/>
      <c r="B720" s="17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</row>
    <row r="721" spans="1:14" ht="12.75" customHeight="1">
      <c r="A721" s="8"/>
      <c r="B721" s="17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</row>
    <row r="722" spans="1:14" ht="12.75" customHeight="1">
      <c r="A722" s="8"/>
      <c r="B722" s="17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</row>
    <row r="723" spans="1:14" ht="12.75" customHeight="1">
      <c r="A723" s="8"/>
      <c r="B723" s="17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</row>
    <row r="724" spans="1:14" ht="12.75" customHeight="1">
      <c r="A724" s="8"/>
      <c r="B724" s="17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</row>
    <row r="725" spans="1:14" ht="12.75" customHeight="1">
      <c r="A725" s="8"/>
      <c r="B725" s="17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</row>
    <row r="726" spans="1:14" ht="12.75" customHeight="1">
      <c r="A726" s="8"/>
      <c r="B726" s="17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</row>
    <row r="727" spans="1:14" ht="12.75" customHeight="1">
      <c r="A727" s="8"/>
      <c r="B727" s="17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</row>
    <row r="728" spans="1:14" ht="12.75" customHeight="1">
      <c r="A728" s="8"/>
      <c r="B728" s="17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</row>
    <row r="729" spans="1:14" ht="12.75" customHeight="1">
      <c r="A729" s="8"/>
      <c r="B729" s="17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</row>
    <row r="730" spans="1:14" ht="12.75" customHeight="1">
      <c r="A730" s="8"/>
      <c r="B730" s="17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</row>
    <row r="731" spans="1:14" ht="12.75" customHeight="1">
      <c r="A731" s="8"/>
      <c r="B731" s="17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</row>
    <row r="732" spans="1:14" ht="12.75" customHeight="1">
      <c r="A732" s="8"/>
      <c r="B732" s="17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</row>
    <row r="733" spans="1:14" ht="12.75" customHeight="1">
      <c r="A733" s="8"/>
      <c r="B733" s="17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</row>
    <row r="734" spans="1:14" ht="12.75" customHeight="1">
      <c r="A734" s="8"/>
      <c r="B734" s="17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</row>
    <row r="735" spans="1:14" ht="12.75" customHeight="1">
      <c r="A735" s="8"/>
      <c r="B735" s="17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</row>
    <row r="736" spans="1:14" ht="12.75" customHeight="1">
      <c r="A736" s="8"/>
      <c r="B736" s="17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</row>
    <row r="737" spans="1:14" ht="12.75" customHeight="1">
      <c r="A737" s="8"/>
      <c r="B737" s="17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</row>
    <row r="738" spans="1:14" ht="12.75" customHeight="1">
      <c r="A738" s="8"/>
      <c r="B738" s="17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</row>
    <row r="739" spans="1:14" ht="12.75" customHeight="1">
      <c r="A739" s="8"/>
      <c r="B739" s="17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</row>
    <row r="740" spans="1:14" ht="12.75" customHeight="1">
      <c r="A740" s="8"/>
      <c r="B740" s="17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</row>
    <row r="741" spans="1:14" ht="12.75" customHeight="1">
      <c r="A741" s="8"/>
      <c r="B741" s="17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</row>
    <row r="742" spans="1:14" ht="12.75" customHeight="1">
      <c r="A742" s="8"/>
      <c r="B742" s="17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</row>
    <row r="743" spans="1:14" ht="12.75" customHeight="1">
      <c r="A743" s="8"/>
      <c r="B743" s="17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</row>
    <row r="744" spans="1:14" ht="12.75" customHeight="1">
      <c r="A744" s="8"/>
      <c r="B744" s="17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</row>
    <row r="745" spans="1:14" ht="12.75" customHeight="1">
      <c r="A745" s="8"/>
      <c r="B745" s="17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</row>
    <row r="746" spans="1:14" ht="12.75" customHeight="1">
      <c r="A746" s="8"/>
      <c r="B746" s="17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</row>
    <row r="747" spans="1:14" ht="12.75" customHeight="1">
      <c r="A747" s="8"/>
      <c r="B747" s="17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</row>
    <row r="748" spans="1:14" ht="12.75" customHeight="1">
      <c r="A748" s="8"/>
      <c r="B748" s="17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</row>
    <row r="749" spans="1:14" ht="12.75" customHeight="1">
      <c r="A749" s="8"/>
      <c r="B749" s="17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</row>
    <row r="750" spans="1:14" ht="12.75" customHeight="1">
      <c r="A750" s="8"/>
      <c r="B750" s="17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</row>
    <row r="751" spans="1:14" ht="12.75" customHeight="1">
      <c r="A751" s="8"/>
      <c r="B751" s="17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</row>
    <row r="752" spans="1:14" ht="12.75" customHeight="1">
      <c r="A752" s="8"/>
      <c r="B752" s="17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</row>
    <row r="753" spans="1:14" ht="12.75" customHeight="1">
      <c r="A753" s="8"/>
      <c r="B753" s="17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</row>
    <row r="754" spans="1:14" ht="12.75" customHeight="1">
      <c r="A754" s="8"/>
      <c r="B754" s="17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</row>
    <row r="755" spans="1:14" ht="12.75" customHeight="1">
      <c r="A755" s="8"/>
      <c r="B755" s="17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</row>
    <row r="756" spans="1:14" ht="12.75" customHeight="1">
      <c r="A756" s="8"/>
      <c r="B756" s="17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</row>
    <row r="757" spans="1:14" ht="12.75" customHeight="1">
      <c r="A757" s="8"/>
      <c r="B757" s="17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</row>
    <row r="758" spans="1:14" ht="12.75" customHeight="1">
      <c r="A758" s="8"/>
      <c r="B758" s="17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</row>
    <row r="759" spans="1:14" ht="12.75" customHeight="1">
      <c r="A759" s="8"/>
      <c r="B759" s="17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</row>
    <row r="760" spans="1:14" ht="12.75" customHeight="1">
      <c r="A760" s="8"/>
      <c r="B760" s="17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</row>
    <row r="761" spans="1:14" ht="12.75" customHeight="1">
      <c r="A761" s="8"/>
      <c r="B761" s="17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</row>
    <row r="762" spans="1:14" ht="12.75" customHeight="1">
      <c r="A762" s="8"/>
      <c r="B762" s="17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</row>
    <row r="763" spans="1:14" ht="12.75" customHeight="1">
      <c r="A763" s="8"/>
      <c r="B763" s="17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</row>
    <row r="764" spans="1:14" ht="12.75" customHeight="1">
      <c r="A764" s="8"/>
      <c r="B764" s="17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</row>
    <row r="765" spans="1:14" ht="12.75" customHeight="1">
      <c r="A765" s="8"/>
      <c r="B765" s="17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</row>
    <row r="766" spans="1:14" ht="12.75" customHeight="1">
      <c r="A766" s="8"/>
      <c r="B766" s="17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</row>
    <row r="767" spans="1:14" ht="12.75" customHeight="1">
      <c r="A767" s="8"/>
      <c r="B767" s="17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</row>
    <row r="768" spans="1:14" ht="12.75" customHeight="1">
      <c r="A768" s="8"/>
      <c r="B768" s="17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</row>
    <row r="769" spans="1:14" ht="12.75" customHeight="1">
      <c r="A769" s="8"/>
      <c r="B769" s="17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</row>
    <row r="770" spans="1:14" ht="12.75" customHeight="1">
      <c r="A770" s="8"/>
      <c r="B770" s="17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</row>
    <row r="771" spans="1:14" ht="12.75" customHeight="1">
      <c r="A771" s="8"/>
      <c r="B771" s="17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</row>
    <row r="772" spans="1:14" ht="12.75" customHeight="1">
      <c r="A772" s="8"/>
      <c r="B772" s="17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</row>
    <row r="773" spans="1:14" ht="12.75" customHeight="1">
      <c r="A773" s="8"/>
      <c r="B773" s="17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</row>
    <row r="774" spans="1:14" ht="12.75" customHeight="1">
      <c r="A774" s="8"/>
      <c r="B774" s="17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</row>
    <row r="775" spans="1:14" ht="12.75" customHeight="1">
      <c r="A775" s="8"/>
      <c r="B775" s="17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</row>
    <row r="776" spans="1:14" ht="12.75" customHeight="1">
      <c r="A776" s="8"/>
      <c r="B776" s="17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</row>
    <row r="777" spans="1:14" ht="12.75" customHeight="1">
      <c r="A777" s="8"/>
      <c r="B777" s="17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</row>
    <row r="778" spans="1:14" ht="12.75" customHeight="1">
      <c r="A778" s="8"/>
      <c r="B778" s="17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</row>
    <row r="779" spans="1:14" ht="12.75" customHeight="1">
      <c r="A779" s="8"/>
      <c r="B779" s="17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</row>
    <row r="780" spans="1:14" ht="12.75" customHeight="1">
      <c r="A780" s="8"/>
      <c r="B780" s="17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</row>
    <row r="781" spans="1:14" ht="12.75" customHeight="1">
      <c r="A781" s="8"/>
      <c r="B781" s="17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</row>
    <row r="782" spans="1:14" ht="12.75" customHeight="1">
      <c r="A782" s="8"/>
      <c r="B782" s="17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</row>
    <row r="783" spans="1:14" ht="12.75" customHeight="1">
      <c r="A783" s="8"/>
      <c r="B783" s="17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</row>
    <row r="784" spans="1:14" ht="12.75" customHeight="1">
      <c r="A784" s="8"/>
      <c r="B784" s="17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</row>
    <row r="785" spans="1:14" ht="12.75" customHeight="1">
      <c r="A785" s="8"/>
      <c r="B785" s="17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</row>
    <row r="786" spans="1:14" ht="12.75" customHeight="1">
      <c r="A786" s="8"/>
      <c r="B786" s="17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</row>
    <row r="787" spans="1:14" ht="12.75" customHeight="1">
      <c r="A787" s="8"/>
      <c r="B787" s="17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</row>
    <row r="788" spans="1:14" ht="12.75" customHeight="1">
      <c r="A788" s="8"/>
      <c r="B788" s="17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</row>
    <row r="789" spans="1:14" ht="12.75" customHeight="1">
      <c r="A789" s="8"/>
      <c r="B789" s="17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</row>
    <row r="790" spans="1:14" ht="12.75" customHeight="1">
      <c r="A790" s="8"/>
      <c r="B790" s="17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</row>
    <row r="791" spans="1:14" ht="12.75" customHeight="1">
      <c r="A791" s="8"/>
      <c r="B791" s="17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</row>
    <row r="792" spans="1:14" ht="12.75" customHeight="1">
      <c r="A792" s="8"/>
      <c r="B792" s="17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</row>
    <row r="793" spans="1:14" ht="12.75" customHeight="1">
      <c r="A793" s="8"/>
      <c r="B793" s="17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</row>
    <row r="794" spans="1:14" ht="12.75" customHeight="1">
      <c r="A794" s="8"/>
      <c r="B794" s="17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</row>
    <row r="795" spans="1:14" ht="12.75" customHeight="1">
      <c r="A795" s="8"/>
      <c r="B795" s="17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</row>
    <row r="796" spans="1:14" ht="12.75" customHeight="1">
      <c r="A796" s="8"/>
      <c r="B796" s="17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</row>
    <row r="797" spans="1:14" ht="12.75" customHeight="1">
      <c r="A797" s="8"/>
      <c r="B797" s="17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</row>
    <row r="798" spans="1:14" ht="12.75" customHeight="1">
      <c r="A798" s="8"/>
      <c r="B798" s="17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</row>
    <row r="799" spans="1:14" ht="12.75" customHeight="1">
      <c r="A799" s="8"/>
      <c r="B799" s="17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</row>
    <row r="800" spans="1:14" ht="12.75" customHeight="1">
      <c r="A800" s="8"/>
      <c r="B800" s="17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</row>
    <row r="801" spans="1:14" ht="12.75" customHeight="1">
      <c r="A801" s="8"/>
      <c r="B801" s="17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</row>
    <row r="802" spans="1:14" ht="12.75" customHeight="1">
      <c r="A802" s="8"/>
      <c r="B802" s="17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</row>
    <row r="803" spans="1:14" ht="12.75" customHeight="1">
      <c r="A803" s="8"/>
      <c r="B803" s="17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</row>
    <row r="804" spans="1:14" ht="12.75" customHeight="1">
      <c r="A804" s="8"/>
      <c r="B804" s="17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</row>
    <row r="805" spans="1:14" ht="12.75" customHeight="1">
      <c r="A805" s="8"/>
      <c r="B805" s="17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</row>
    <row r="806" spans="1:14" ht="12.75" customHeight="1">
      <c r="A806" s="8"/>
      <c r="B806" s="17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</row>
    <row r="807" spans="1:14" ht="12.75" customHeight="1">
      <c r="A807" s="8"/>
      <c r="B807" s="17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</row>
    <row r="808" spans="1:14" ht="12.75" customHeight="1">
      <c r="A808" s="8"/>
      <c r="B808" s="17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</row>
    <row r="809" spans="1:14" ht="12.75" customHeight="1">
      <c r="A809" s="8"/>
      <c r="B809" s="17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</row>
    <row r="810" spans="1:14" ht="12.75" customHeight="1">
      <c r="A810" s="8"/>
      <c r="B810" s="17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</row>
    <row r="811" spans="1:14" ht="12.75" customHeight="1">
      <c r="A811" s="8"/>
      <c r="B811" s="17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</row>
    <row r="812" spans="1:14" ht="12.75" customHeight="1">
      <c r="A812" s="8"/>
      <c r="B812" s="17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</row>
    <row r="813" spans="1:14" ht="12.75" customHeight="1">
      <c r="A813" s="8"/>
      <c r="B813" s="17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</row>
    <row r="814" spans="1:14" ht="12.75" customHeight="1">
      <c r="A814" s="8"/>
      <c r="B814" s="17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</row>
    <row r="815" spans="1:14" ht="12.75" customHeight="1">
      <c r="A815" s="8"/>
      <c r="B815" s="17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</row>
    <row r="816" spans="1:14" ht="12.75" customHeight="1">
      <c r="A816" s="8"/>
      <c r="B816" s="17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</row>
    <row r="817" spans="1:14" ht="12.75" customHeight="1">
      <c r="A817" s="8"/>
      <c r="B817" s="17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</row>
    <row r="818" spans="1:14" ht="12.75" customHeight="1">
      <c r="A818" s="8"/>
      <c r="B818" s="17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</row>
    <row r="819" spans="1:14" ht="12.75" customHeight="1">
      <c r="A819" s="8"/>
      <c r="B819" s="17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</row>
    <row r="820" spans="1:14" ht="12.75" customHeight="1">
      <c r="A820" s="8"/>
      <c r="B820" s="17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</row>
    <row r="821" spans="1:14" ht="12.75" customHeight="1">
      <c r="A821" s="8"/>
      <c r="B821" s="17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</row>
    <row r="822" spans="1:14" ht="12.75" customHeight="1">
      <c r="A822" s="8"/>
      <c r="B822" s="17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</row>
    <row r="823" spans="1:14" ht="12.75" customHeight="1">
      <c r="A823" s="8"/>
      <c r="B823" s="17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</row>
    <row r="824" spans="1:14" ht="12.75" customHeight="1">
      <c r="A824" s="8"/>
      <c r="B824" s="17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</row>
    <row r="825" spans="1:14" ht="12.75" customHeight="1">
      <c r="A825" s="8"/>
      <c r="B825" s="17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</row>
    <row r="826" spans="1:14" ht="12.75" customHeight="1">
      <c r="A826" s="8"/>
      <c r="B826" s="17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</row>
    <row r="827" spans="1:14" ht="12.75" customHeight="1">
      <c r="A827" s="8"/>
      <c r="B827" s="17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</row>
    <row r="828" spans="1:14" ht="12.75" customHeight="1">
      <c r="A828" s="8"/>
      <c r="B828" s="17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</row>
    <row r="829" spans="1:14" ht="12.75" customHeight="1">
      <c r="A829" s="8"/>
      <c r="B829" s="17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</row>
    <row r="830" spans="1:14" ht="12.75" customHeight="1">
      <c r="A830" s="8"/>
      <c r="B830" s="17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</row>
    <row r="831" spans="1:14" ht="12.75" customHeight="1">
      <c r="A831" s="8"/>
      <c r="B831" s="17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</row>
    <row r="832" spans="1:14" ht="12.75" customHeight="1">
      <c r="A832" s="8"/>
      <c r="B832" s="17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</row>
    <row r="833" spans="1:14" ht="12.75" customHeight="1">
      <c r="A833" s="8"/>
      <c r="B833" s="17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</row>
    <row r="834" spans="1:14" ht="12.75" customHeight="1">
      <c r="A834" s="8"/>
      <c r="B834" s="17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</row>
    <row r="835" spans="1:14" ht="12.75" customHeight="1">
      <c r="A835" s="8"/>
      <c r="B835" s="17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</row>
    <row r="836" spans="1:14" ht="12.75" customHeight="1">
      <c r="A836" s="8"/>
      <c r="B836" s="17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</row>
    <row r="837" spans="1:14" ht="12.75" customHeight="1">
      <c r="A837" s="8"/>
      <c r="B837" s="1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</row>
    <row r="838" spans="1:14" ht="12.75" customHeight="1">
      <c r="A838" s="8"/>
      <c r="B838" s="17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</row>
    <row r="839" spans="1:14" ht="12.75" customHeight="1">
      <c r="A839" s="8"/>
      <c r="B839" s="17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</row>
    <row r="840" spans="1:14" ht="12.75" customHeight="1">
      <c r="A840" s="8"/>
      <c r="B840" s="17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</row>
    <row r="841" spans="1:14" ht="12.75" customHeight="1">
      <c r="A841" s="8"/>
      <c r="B841" s="17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</row>
    <row r="842" spans="1:14" ht="12.75" customHeight="1">
      <c r="A842" s="8"/>
      <c r="B842" s="17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</row>
    <row r="843" spans="1:14" ht="12.75" customHeight="1">
      <c r="A843" s="8"/>
      <c r="B843" s="17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</row>
    <row r="844" spans="1:14" ht="12.75" customHeight="1">
      <c r="A844" s="8"/>
      <c r="B844" s="17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</row>
    <row r="845" spans="1:14" ht="12.75" customHeight="1">
      <c r="A845" s="8"/>
      <c r="B845" s="17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</row>
    <row r="846" spans="1:14" ht="12.75" customHeight="1">
      <c r="A846" s="8"/>
      <c r="B846" s="17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</row>
    <row r="847" spans="1:14" ht="12.75" customHeight="1">
      <c r="A847" s="8"/>
      <c r="B847" s="17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</row>
    <row r="848" spans="1:14" ht="12.75" customHeight="1">
      <c r="A848" s="8"/>
      <c r="B848" s="17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</row>
    <row r="849" spans="1:14" ht="12.75" customHeight="1">
      <c r="A849" s="8"/>
      <c r="B849" s="17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</row>
    <row r="850" spans="1:14" ht="12.75" customHeight="1">
      <c r="A850" s="8"/>
      <c r="B850" s="17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</row>
    <row r="851" spans="1:14" ht="12.75" customHeight="1">
      <c r="A851" s="8"/>
      <c r="B851" s="17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</row>
    <row r="852" spans="1:14" ht="12.75" customHeight="1">
      <c r="A852" s="8"/>
      <c r="B852" s="17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</row>
    <row r="853" spans="1:14" ht="12.75" customHeight="1">
      <c r="A853" s="8"/>
      <c r="B853" s="17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</row>
    <row r="854" spans="1:14" ht="12.75" customHeight="1">
      <c r="A854" s="8"/>
      <c r="B854" s="17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</row>
    <row r="855" spans="1:14" ht="12.75" customHeight="1">
      <c r="A855" s="8"/>
      <c r="B855" s="17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</row>
    <row r="856" spans="1:14" ht="12.75" customHeight="1">
      <c r="A856" s="8"/>
      <c r="B856" s="17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</row>
    <row r="857" spans="1:14" ht="12.75" customHeight="1">
      <c r="A857" s="8"/>
      <c r="B857" s="17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</row>
    <row r="858" spans="1:14" ht="12.75" customHeight="1">
      <c r="A858" s="8"/>
      <c r="B858" s="17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</row>
    <row r="859" spans="1:14" ht="12.75" customHeight="1">
      <c r="A859" s="8"/>
      <c r="B859" s="17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</row>
    <row r="860" spans="1:14" ht="12.75" customHeight="1">
      <c r="A860" s="8"/>
      <c r="B860" s="17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</row>
    <row r="861" spans="1:14" ht="12.75" customHeight="1">
      <c r="A861" s="8"/>
      <c r="B861" s="17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</row>
    <row r="862" spans="1:14" ht="12.75" customHeight="1">
      <c r="A862" s="8"/>
      <c r="B862" s="17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</row>
    <row r="863" spans="1:14" ht="12.75" customHeight="1">
      <c r="A863" s="8"/>
      <c r="B863" s="17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</row>
    <row r="864" spans="1:14" ht="12.75" customHeight="1">
      <c r="A864" s="8"/>
      <c r="B864" s="17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</row>
    <row r="865" spans="1:14" ht="12.75" customHeight="1">
      <c r="A865" s="8"/>
      <c r="B865" s="17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</row>
    <row r="866" spans="1:14" ht="12.75" customHeight="1">
      <c r="A866" s="8"/>
      <c r="B866" s="17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</row>
    <row r="867" spans="1:14" ht="12.75" customHeight="1">
      <c r="A867" s="8"/>
      <c r="B867" s="17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</row>
    <row r="868" spans="1:14" ht="12.75" customHeight="1">
      <c r="A868" s="8"/>
      <c r="B868" s="17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</row>
    <row r="869" spans="1:14" ht="12.75" customHeight="1">
      <c r="A869" s="8"/>
      <c r="B869" s="17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</row>
    <row r="870" spans="1:14" ht="12.75" customHeight="1">
      <c r="A870" s="8"/>
      <c r="B870" s="17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</row>
    <row r="871" spans="1:14" ht="12.75" customHeight="1">
      <c r="A871" s="8"/>
      <c r="B871" s="17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</row>
    <row r="872" spans="1:14" ht="12.75" customHeight="1">
      <c r="A872" s="8"/>
      <c r="B872" s="17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</row>
    <row r="873" spans="1:14" ht="12.75" customHeight="1">
      <c r="A873" s="8"/>
      <c r="B873" s="17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</row>
    <row r="874" spans="1:14" ht="12.75" customHeight="1">
      <c r="A874" s="8"/>
      <c r="B874" s="17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</row>
    <row r="875" spans="1:14" ht="12.75" customHeight="1">
      <c r="A875" s="8"/>
      <c r="B875" s="17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spans="1:14" ht="12.75" customHeight="1">
      <c r="A876" s="8"/>
      <c r="B876" s="17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</row>
    <row r="877" spans="1:14" ht="12.75" customHeight="1">
      <c r="A877" s="8"/>
      <c r="B877" s="17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</row>
    <row r="878" spans="1:14" ht="12.75" customHeight="1">
      <c r="A878" s="8"/>
      <c r="B878" s="17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</row>
    <row r="879" spans="1:14" ht="12.75" customHeight="1">
      <c r="A879" s="8"/>
      <c r="B879" s="17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</row>
    <row r="880" spans="1:14" ht="12.75" customHeight="1">
      <c r="A880" s="8"/>
      <c r="B880" s="17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</row>
    <row r="881" spans="1:14" ht="12.75" customHeight="1">
      <c r="A881" s="8"/>
      <c r="B881" s="17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</row>
    <row r="882" spans="1:14" ht="12.75" customHeight="1">
      <c r="A882" s="8"/>
      <c r="B882" s="17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</row>
    <row r="883" spans="1:14" ht="12.75" customHeight="1">
      <c r="A883" s="8"/>
      <c r="B883" s="17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</row>
    <row r="884" spans="1:14" ht="12.75" customHeight="1">
      <c r="A884" s="8"/>
      <c r="B884" s="17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</row>
    <row r="885" spans="1:14" ht="12.75" customHeight="1">
      <c r="A885" s="8"/>
      <c r="B885" s="17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</row>
    <row r="886" spans="1:14" ht="12.75" customHeight="1">
      <c r="A886" s="8"/>
      <c r="B886" s="17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</row>
    <row r="887" spans="1:14" ht="12.75" customHeight="1">
      <c r="A887" s="8"/>
      <c r="B887" s="17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</row>
    <row r="888" spans="1:14" ht="12.75" customHeight="1">
      <c r="A888" s="8"/>
      <c r="B888" s="17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</row>
    <row r="889" spans="1:14" ht="12.75" customHeight="1">
      <c r="A889" s="8"/>
      <c r="B889" s="17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</row>
    <row r="890" spans="1:14" ht="12.75" customHeight="1">
      <c r="A890" s="8"/>
      <c r="B890" s="17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</row>
    <row r="891" spans="1:14" ht="12.75" customHeight="1">
      <c r="A891" s="8"/>
      <c r="B891" s="17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</row>
    <row r="892" spans="1:14" ht="12.75" customHeight="1">
      <c r="A892" s="8"/>
      <c r="B892" s="17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</row>
    <row r="893" spans="1:14" ht="12.75" customHeight="1">
      <c r="A893" s="8"/>
      <c r="B893" s="17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</row>
    <row r="894" spans="1:14" ht="12.75" customHeight="1">
      <c r="A894" s="8"/>
      <c r="B894" s="17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</row>
    <row r="895" spans="1:14" ht="12.75" customHeight="1">
      <c r="A895" s="8"/>
      <c r="B895" s="17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</row>
    <row r="896" spans="1:14" ht="12.75" customHeight="1">
      <c r="A896" s="8"/>
      <c r="B896" s="17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</row>
    <row r="897" spans="1:14" ht="12.75" customHeight="1">
      <c r="A897" s="8"/>
      <c r="B897" s="17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</row>
    <row r="898" spans="1:14" ht="12.75" customHeight="1">
      <c r="A898" s="8"/>
      <c r="B898" s="17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</row>
    <row r="899" spans="1:14" ht="12.75" customHeight="1">
      <c r="A899" s="8"/>
      <c r="B899" s="17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</row>
    <row r="900" spans="1:14" ht="12.75" customHeight="1">
      <c r="A900" s="8"/>
      <c r="B900" s="17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</row>
    <row r="901" spans="1:14" ht="12.75" customHeight="1">
      <c r="A901" s="8"/>
      <c r="B901" s="17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</row>
    <row r="902" spans="1:14" ht="12.75" customHeight="1">
      <c r="A902" s="8"/>
      <c r="B902" s="17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</row>
    <row r="903" spans="1:14" ht="12.75" customHeight="1">
      <c r="A903" s="8"/>
      <c r="B903" s="17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</row>
    <row r="904" spans="1:14" ht="12.75" customHeight="1">
      <c r="A904" s="8"/>
      <c r="B904" s="17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</row>
    <row r="905" spans="1:14" ht="12.75" customHeight="1">
      <c r="A905" s="8"/>
      <c r="B905" s="17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</row>
    <row r="906" spans="1:14" ht="12.75" customHeight="1">
      <c r="A906" s="8"/>
      <c r="B906" s="17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</row>
    <row r="907" spans="1:14" ht="12.75" customHeight="1">
      <c r="A907" s="8"/>
      <c r="B907" s="17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</row>
    <row r="908" spans="1:14" ht="12.75" customHeight="1">
      <c r="A908" s="8"/>
      <c r="B908" s="17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</row>
    <row r="909" spans="1:14" ht="12.75" customHeight="1">
      <c r="A909" s="8"/>
      <c r="B909" s="17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</row>
    <row r="910" spans="1:14" ht="12.75" customHeight="1">
      <c r="A910" s="8"/>
      <c r="B910" s="17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</row>
    <row r="911" spans="1:14" ht="12.75" customHeight="1">
      <c r="A911" s="8"/>
      <c r="B911" s="17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</row>
    <row r="912" spans="1:14" ht="12.75" customHeight="1">
      <c r="A912" s="8"/>
      <c r="B912" s="17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</row>
    <row r="913" spans="1:14" ht="12.75" customHeight="1">
      <c r="A913" s="8"/>
      <c r="B913" s="17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</row>
    <row r="914" spans="1:14" ht="12.75" customHeight="1">
      <c r="A914" s="8"/>
      <c r="B914" s="17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</row>
    <row r="915" spans="1:14" ht="12.75" customHeight="1">
      <c r="A915" s="8"/>
      <c r="B915" s="17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</row>
    <row r="916" spans="1:14" ht="12.75" customHeight="1">
      <c r="A916" s="8"/>
      <c r="B916" s="17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</row>
    <row r="917" spans="1:14" ht="12.75" customHeight="1">
      <c r="A917" s="8"/>
      <c r="B917" s="17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</row>
    <row r="918" spans="1:14" ht="12.75" customHeight="1">
      <c r="A918" s="8"/>
      <c r="B918" s="17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</row>
    <row r="919" spans="1:14" ht="12.75" customHeight="1">
      <c r="A919" s="8"/>
      <c r="B919" s="17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</row>
    <row r="920" spans="1:14" ht="12.75" customHeight="1">
      <c r="A920" s="8"/>
      <c r="B920" s="17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</row>
    <row r="921" spans="1:14" ht="12.75" customHeight="1">
      <c r="A921" s="8"/>
      <c r="B921" s="17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</row>
    <row r="922" spans="1:14" ht="12.75" customHeight="1">
      <c r="A922" s="8"/>
      <c r="B922" s="17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</row>
    <row r="923" spans="1:14" ht="12.75" customHeight="1">
      <c r="A923" s="8"/>
      <c r="B923" s="17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</row>
    <row r="924" spans="1:14" ht="12.75" customHeight="1">
      <c r="A924" s="8"/>
      <c r="B924" s="17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</row>
    <row r="925" spans="1:14" ht="12.75" customHeight="1">
      <c r="A925" s="8"/>
      <c r="B925" s="17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</row>
    <row r="926" spans="1:14" ht="12.75" customHeight="1">
      <c r="A926" s="8"/>
      <c r="B926" s="17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</row>
    <row r="927" spans="1:14" ht="12.75" customHeight="1">
      <c r="A927" s="8"/>
      <c r="B927" s="17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</row>
    <row r="928" spans="1:14" ht="12.75" customHeight="1">
      <c r="A928" s="8"/>
      <c r="B928" s="17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</row>
    <row r="929" spans="1:14" ht="12.75" customHeight="1">
      <c r="A929" s="8"/>
      <c r="B929" s="17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</row>
    <row r="930" spans="1:14" ht="12.75" customHeight="1">
      <c r="A930" s="8"/>
      <c r="B930" s="17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</row>
    <row r="931" spans="1:14" ht="12.75" customHeight="1">
      <c r="A931" s="8"/>
      <c r="B931" s="17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</row>
    <row r="932" spans="1:14" ht="12.75" customHeight="1">
      <c r="A932" s="8"/>
      <c r="B932" s="17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</row>
    <row r="933" spans="1:14" ht="12.75" customHeight="1">
      <c r="A933" s="8"/>
      <c r="B933" s="17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</row>
    <row r="934" spans="1:14" ht="12.75" customHeight="1">
      <c r="A934" s="8"/>
      <c r="B934" s="17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</row>
    <row r="935" spans="1:14" ht="12.75" customHeight="1">
      <c r="A935" s="8"/>
      <c r="B935" s="17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</row>
    <row r="936" spans="1:14" ht="12.75" customHeight="1">
      <c r="A936" s="8"/>
      <c r="B936" s="17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</row>
    <row r="937" spans="1:14" ht="12.75" customHeight="1">
      <c r="A937" s="8"/>
      <c r="B937" s="17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</row>
    <row r="938" spans="1:14" ht="12.75" customHeight="1">
      <c r="A938" s="8"/>
      <c r="B938" s="17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</row>
    <row r="939" spans="1:14" ht="12.75" customHeight="1">
      <c r="A939" s="8"/>
      <c r="B939" s="17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</row>
    <row r="940" spans="1:14" ht="12.75" customHeight="1">
      <c r="A940" s="8"/>
      <c r="B940" s="17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</row>
    <row r="941" spans="1:14" ht="12.75" customHeight="1">
      <c r="A941" s="8"/>
      <c r="B941" s="17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</row>
    <row r="942" spans="1:14" ht="12.75" customHeight="1">
      <c r="A942" s="8"/>
      <c r="B942" s="17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</row>
    <row r="943" spans="1:14" ht="12.75" customHeight="1">
      <c r="A943" s="8"/>
      <c r="B943" s="17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</row>
    <row r="944" spans="1:14" ht="12.75" customHeight="1">
      <c r="A944" s="8"/>
      <c r="B944" s="17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</row>
    <row r="945" spans="1:14" ht="12.75" customHeight="1">
      <c r="A945" s="8"/>
      <c r="B945" s="17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</row>
    <row r="946" spans="1:14" ht="12.75" customHeight="1">
      <c r="A946" s="8"/>
      <c r="B946" s="17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</row>
    <row r="947" spans="1:14" ht="12.75" customHeight="1">
      <c r="A947" s="8"/>
      <c r="B947" s="17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</row>
    <row r="948" spans="1:14" ht="12.75" customHeight="1">
      <c r="A948" s="8"/>
      <c r="B948" s="17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</row>
    <row r="949" spans="1:14" ht="12.75" customHeight="1">
      <c r="A949" s="8"/>
      <c r="B949" s="17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</row>
    <row r="950" spans="1:14" ht="12.75" customHeight="1">
      <c r="A950" s="8"/>
      <c r="B950" s="17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</row>
    <row r="951" spans="1:14" ht="12.75" customHeight="1">
      <c r="A951" s="8"/>
      <c r="B951" s="17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</row>
    <row r="952" spans="1:14" ht="12.75" customHeight="1">
      <c r="A952" s="8"/>
      <c r="B952" s="17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</row>
    <row r="953" spans="1:14" ht="12.75" customHeight="1">
      <c r="A953" s="8"/>
      <c r="B953" s="17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</row>
    <row r="954" spans="1:14" ht="12.75" customHeight="1">
      <c r="A954" s="8"/>
      <c r="B954" s="17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</row>
    <row r="955" spans="1:14" ht="12.75" customHeight="1">
      <c r="A955" s="8"/>
      <c r="B955" s="17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</row>
    <row r="956" spans="1:14" ht="12.75" customHeight="1">
      <c r="A956" s="8"/>
      <c r="B956" s="17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</row>
    <row r="957" spans="1:14" ht="12.75" customHeight="1">
      <c r="A957" s="8"/>
      <c r="B957" s="17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</row>
    <row r="958" spans="1:14" ht="12.75" customHeight="1">
      <c r="A958" s="8"/>
      <c r="B958" s="17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</row>
    <row r="959" spans="1:14" ht="12.75" customHeight="1">
      <c r="A959" s="8"/>
      <c r="B959" s="17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</row>
    <row r="960" spans="1:14" ht="12.75" customHeight="1">
      <c r="A960" s="8"/>
      <c r="B960" s="17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</row>
    <row r="961" spans="1:14" ht="12.75" customHeight="1">
      <c r="A961" s="8"/>
      <c r="B961" s="17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</row>
    <row r="962" spans="1:14" ht="12.75" customHeight="1">
      <c r="A962" s="8"/>
      <c r="B962" s="17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</row>
    <row r="963" spans="1:14" ht="12.75" customHeight="1">
      <c r="A963" s="8"/>
      <c r="B963" s="17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</row>
    <row r="964" spans="1:14" ht="12.75" customHeight="1">
      <c r="A964" s="8"/>
      <c r="B964" s="17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</row>
    <row r="965" spans="1:14" ht="12.75" customHeight="1">
      <c r="A965" s="8"/>
      <c r="B965" s="17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</row>
    <row r="966" spans="1:14" ht="12.75" customHeight="1">
      <c r="A966" s="8"/>
      <c r="B966" s="17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</row>
    <row r="967" spans="1:14" ht="12.75" customHeight="1">
      <c r="A967" s="8"/>
      <c r="B967" s="17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</row>
    <row r="968" spans="1:14" ht="12.75" customHeight="1">
      <c r="A968" s="8"/>
      <c r="B968" s="17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</row>
    <row r="969" spans="1:14" ht="12.75" customHeight="1">
      <c r="A969" s="8"/>
      <c r="B969" s="17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</row>
    <row r="970" spans="1:14" ht="12.75" customHeight="1">
      <c r="A970" s="8"/>
      <c r="B970" s="17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</row>
    <row r="971" spans="1:14" ht="12.75" customHeight="1">
      <c r="A971" s="8"/>
      <c r="B971" s="17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</row>
    <row r="972" spans="1:14" ht="12.75" customHeight="1">
      <c r="A972" s="8"/>
      <c r="B972" s="17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</row>
    <row r="973" spans="1:14" ht="12.75" customHeight="1">
      <c r="A973" s="8"/>
      <c r="B973" s="17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</row>
    <row r="974" spans="1:14" ht="12.75" customHeight="1">
      <c r="A974" s="8"/>
      <c r="B974" s="17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</row>
    <row r="975" spans="1:14" ht="12.75" customHeight="1">
      <c r="A975" s="8"/>
      <c r="B975" s="17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</row>
    <row r="976" spans="1:14" ht="12.75" customHeight="1">
      <c r="A976" s="8"/>
      <c r="B976" s="17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</row>
    <row r="977" spans="1:14" ht="12.75" customHeight="1">
      <c r="A977" s="8"/>
      <c r="B977" s="17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</row>
    <row r="978" spans="1:14" ht="12.75" customHeight="1">
      <c r="A978" s="8"/>
      <c r="B978" s="17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</row>
    <row r="979" spans="1:14" ht="12.75" customHeight="1">
      <c r="A979" s="8"/>
      <c r="B979" s="17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</row>
    <row r="980" spans="1:14" ht="12.75" customHeight="1">
      <c r="A980" s="8"/>
      <c r="B980" s="17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</row>
    <row r="981" spans="1:14" ht="12.75" customHeight="1">
      <c r="A981" s="8"/>
      <c r="B981" s="17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</row>
    <row r="982" spans="1:14" ht="12.75" customHeight="1">
      <c r="A982" s="8"/>
      <c r="B982" s="17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</row>
    <row r="983" spans="1:14" ht="12.75" customHeight="1">
      <c r="A983" s="8"/>
      <c r="B983" s="17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</row>
    <row r="984" spans="1:14" ht="12.75" customHeight="1">
      <c r="A984" s="8"/>
      <c r="B984" s="17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</row>
    <row r="985" spans="1:14" ht="12.75" customHeight="1">
      <c r="A985" s="8"/>
      <c r="B985" s="17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</row>
    <row r="986" spans="1:14" ht="12.75" customHeight="1">
      <c r="A986" s="8"/>
      <c r="B986" s="17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</row>
    <row r="987" spans="1:14" ht="12.75" customHeight="1">
      <c r="A987" s="8"/>
      <c r="B987" s="17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</row>
    <row r="988" spans="1:14" ht="12.75" customHeight="1">
      <c r="A988" s="8"/>
      <c r="B988" s="17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</row>
    <row r="989" spans="1:14" ht="12.75" customHeight="1">
      <c r="A989" s="8"/>
      <c r="B989" s="17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</row>
    <row r="990" spans="1:14" ht="12.75" customHeight="1">
      <c r="A990" s="8"/>
      <c r="B990" s="17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</row>
    <row r="991" spans="1:14" ht="12.75" customHeight="1">
      <c r="A991" s="8"/>
      <c r="B991" s="17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</row>
    <row r="992" spans="1:14" ht="12.75" customHeight="1">
      <c r="A992" s="8"/>
      <c r="B992" s="17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</row>
    <row r="993" spans="1:14" ht="12.75" customHeight="1">
      <c r="A993" s="8"/>
      <c r="B993" s="17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</row>
    <row r="994" spans="1:14" ht="12.75" customHeight="1">
      <c r="A994" s="8"/>
      <c r="B994" s="17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</row>
    <row r="995" spans="1:14" ht="12.75" customHeight="1">
      <c r="A995" s="8"/>
      <c r="B995" s="17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</row>
    <row r="996" spans="1:14" ht="12.75" customHeight="1">
      <c r="A996" s="8"/>
      <c r="B996" s="17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</row>
    <row r="997" spans="1:14" ht="12.75" customHeight="1">
      <c r="A997" s="8"/>
      <c r="B997" s="17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</row>
    <row r="998" spans="1:14" ht="12.75" customHeight="1">
      <c r="A998" s="8"/>
      <c r="B998" s="17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</row>
    <row r="999" spans="1:14" ht="12.75" customHeight="1">
      <c r="A999" s="8"/>
      <c r="B999" s="17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</row>
    <row r="1000" spans="1:14" ht="12.75" customHeight="1">
      <c r="A1000" s="8"/>
      <c r="B1000" s="17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</row>
    <row r="1001" spans="1:14" ht="12.75" customHeight="1">
      <c r="A1001" s="8"/>
      <c r="B1001" s="17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</row>
    <row r="1002" spans="1:14" ht="12.75" customHeight="1">
      <c r="A1002" s="8"/>
      <c r="B1002" s="17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</row>
    <row r="1003" spans="1:14" ht="12.75" customHeight="1">
      <c r="A1003" s="8"/>
      <c r="B1003" s="17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</row>
    <row r="1004" spans="1:14" ht="12.75" customHeight="1">
      <c r="A1004" s="8"/>
      <c r="B1004" s="17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</row>
    <row r="1005" spans="1:14" ht="12.75" customHeight="1">
      <c r="A1005" s="8"/>
      <c r="B1005" s="17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</row>
    <row r="1006" spans="1:14" ht="12.75" customHeight="1">
      <c r="A1006" s="8"/>
      <c r="B1006" s="17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</row>
  </sheetData>
  <mergeCells count="155">
    <mergeCell ref="A53:D53"/>
    <mergeCell ref="I55:K55"/>
    <mergeCell ref="A56:D56"/>
    <mergeCell ref="A57:D57"/>
    <mergeCell ref="A58:D58"/>
    <mergeCell ref="I48:K48"/>
    <mergeCell ref="A49:D49"/>
    <mergeCell ref="A50:D50"/>
    <mergeCell ref="A51:D51"/>
    <mergeCell ref="I51:K51"/>
    <mergeCell ref="A52:D52"/>
    <mergeCell ref="E42:G42"/>
    <mergeCell ref="E43:G43"/>
    <mergeCell ref="A44:D44"/>
    <mergeCell ref="I44:K44"/>
    <mergeCell ref="A45:D45"/>
    <mergeCell ref="I45:K45"/>
    <mergeCell ref="A35:K35"/>
    <mergeCell ref="A36:K36"/>
    <mergeCell ref="A37:K37"/>
    <mergeCell ref="A38:K38"/>
    <mergeCell ref="A39:K39"/>
    <mergeCell ref="A40:K40"/>
    <mergeCell ref="B31:C31"/>
    <mergeCell ref="D31:F31"/>
    <mergeCell ref="G31:H31"/>
    <mergeCell ref="I31:J31"/>
    <mergeCell ref="A32:K32"/>
    <mergeCell ref="A33:C33"/>
    <mergeCell ref="B29:C29"/>
    <mergeCell ref="G29:H29"/>
    <mergeCell ref="I29:J29"/>
    <mergeCell ref="B30:C30"/>
    <mergeCell ref="D30:F30"/>
    <mergeCell ref="G30:H30"/>
    <mergeCell ref="I30:J30"/>
    <mergeCell ref="U24:V24"/>
    <mergeCell ref="B25:F25"/>
    <mergeCell ref="G25:H25"/>
    <mergeCell ref="I25:J25"/>
    <mergeCell ref="B27:F27"/>
    <mergeCell ref="G27:H27"/>
    <mergeCell ref="I27:J27"/>
    <mergeCell ref="B24:F24"/>
    <mergeCell ref="G24:H24"/>
    <mergeCell ref="I24:J24"/>
    <mergeCell ref="O24:P24"/>
    <mergeCell ref="Q24:R24"/>
    <mergeCell ref="S24:T24"/>
    <mergeCell ref="B23:F23"/>
    <mergeCell ref="I23:J23"/>
    <mergeCell ref="O23:P23"/>
    <mergeCell ref="Q23:R23"/>
    <mergeCell ref="S23:T23"/>
    <mergeCell ref="U23:V23"/>
    <mergeCell ref="U21:V21"/>
    <mergeCell ref="B22:F22"/>
    <mergeCell ref="G22:H22"/>
    <mergeCell ref="I22:J22"/>
    <mergeCell ref="O22:P22"/>
    <mergeCell ref="Q22:R22"/>
    <mergeCell ref="S22:T22"/>
    <mergeCell ref="U22:V22"/>
    <mergeCell ref="B21:F21"/>
    <mergeCell ref="G21:H21"/>
    <mergeCell ref="I21:J21"/>
    <mergeCell ref="O21:P21"/>
    <mergeCell ref="Q21:R21"/>
    <mergeCell ref="S21:T21"/>
    <mergeCell ref="U19:V19"/>
    <mergeCell ref="B20:F20"/>
    <mergeCell ref="G20:H20"/>
    <mergeCell ref="I20:J20"/>
    <mergeCell ref="O20:P20"/>
    <mergeCell ref="Q20:R20"/>
    <mergeCell ref="S20:T20"/>
    <mergeCell ref="U20:V20"/>
    <mergeCell ref="B19:F19"/>
    <mergeCell ref="G19:H19"/>
    <mergeCell ref="I19:J19"/>
    <mergeCell ref="O19:P19"/>
    <mergeCell ref="Q19:R19"/>
    <mergeCell ref="S19:T19"/>
    <mergeCell ref="U17:V17"/>
    <mergeCell ref="B18:F18"/>
    <mergeCell ref="G18:H18"/>
    <mergeCell ref="I18:J18"/>
    <mergeCell ref="O18:P18"/>
    <mergeCell ref="Q18:R18"/>
    <mergeCell ref="S18:T18"/>
    <mergeCell ref="U18:V18"/>
    <mergeCell ref="B17:F17"/>
    <mergeCell ref="G17:H17"/>
    <mergeCell ref="I17:J17"/>
    <mergeCell ref="O17:P17"/>
    <mergeCell ref="Q17:R17"/>
    <mergeCell ref="S17:T17"/>
    <mergeCell ref="U15:V15"/>
    <mergeCell ref="B16:F16"/>
    <mergeCell ref="G16:H16"/>
    <mergeCell ref="I16:J16"/>
    <mergeCell ref="O16:P16"/>
    <mergeCell ref="Q16:R16"/>
    <mergeCell ref="S16:T16"/>
    <mergeCell ref="U16:V16"/>
    <mergeCell ref="B15:F15"/>
    <mergeCell ref="G15:H15"/>
    <mergeCell ref="I15:J15"/>
    <mergeCell ref="O15:P15"/>
    <mergeCell ref="Q15:R15"/>
    <mergeCell ref="S15:T15"/>
    <mergeCell ref="U12:V12"/>
    <mergeCell ref="B14:F14"/>
    <mergeCell ref="G14:H14"/>
    <mergeCell ref="I14:J14"/>
    <mergeCell ref="O14:P14"/>
    <mergeCell ref="Q14:R14"/>
    <mergeCell ref="S14:T14"/>
    <mergeCell ref="U14:V14"/>
    <mergeCell ref="C10:G10"/>
    <mergeCell ref="A11:C11"/>
    <mergeCell ref="D11:G11"/>
    <mergeCell ref="A12:C12"/>
    <mergeCell ref="D12:G12"/>
    <mergeCell ref="J12:K12"/>
    <mergeCell ref="T7:V11"/>
    <mergeCell ref="A8:C8"/>
    <mergeCell ref="D8:G8"/>
    <mergeCell ref="M8:N8"/>
    <mergeCell ref="O8:S8"/>
    <mergeCell ref="A9:D9"/>
    <mergeCell ref="E9:G9"/>
    <mergeCell ref="M9:N9"/>
    <mergeCell ref="O9:S9"/>
    <mergeCell ref="A10:B10"/>
    <mergeCell ref="T5:V6"/>
    <mergeCell ref="A6:B6"/>
    <mergeCell ref="C6:G6"/>
    <mergeCell ref="M6:N6"/>
    <mergeCell ref="O6:S6"/>
    <mergeCell ref="A7:C7"/>
    <mergeCell ref="D7:G7"/>
    <mergeCell ref="I7:K11"/>
    <mergeCell ref="M7:N7"/>
    <mergeCell ref="O7:S7"/>
    <mergeCell ref="D1:J2"/>
    <mergeCell ref="O1:U2"/>
    <mergeCell ref="D3:F3"/>
    <mergeCell ref="G3:J3"/>
    <mergeCell ref="S3:V3"/>
    <mergeCell ref="A5:B5"/>
    <mergeCell ref="C5:G5"/>
    <mergeCell ref="I5:K6"/>
    <mergeCell ref="M5:N5"/>
    <mergeCell ref="O5:S5"/>
  </mergeCells>
  <pageMargins left="0.82677165354330717" right="0.23622047244094491" top="0.74803149606299213" bottom="0.74803149606299213" header="0" footer="0"/>
  <pageSetup paperSize="9" scale="9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REGISTRO">
                <anchor moveWithCells="1">
                  <from>
                    <xdr:col>2</xdr:col>
                    <xdr:colOff>219075</xdr:colOff>
                    <xdr:row>47</xdr:row>
                    <xdr:rowOff>95250</xdr:rowOff>
                  </from>
                  <to>
                    <xdr:col>4</xdr:col>
                    <xdr:colOff>285750</xdr:colOff>
                    <xdr:row>49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2025-08-20T16:41:06Z</dcterms:created>
  <dcterms:modified xsi:type="dcterms:W3CDTF">2025-08-20T16:41:17Z</dcterms:modified>
</cp:coreProperties>
</file>